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4488" windowHeight="6936" tabRatio="517"/>
  </bookViews>
  <sheets>
    <sheet name="proceso" sheetId="1" r:id="rId1"/>
    <sheet name="Resumen Packing List" sheetId="4" r:id="rId2"/>
    <sheet name="Hoja1" sheetId="5" r:id="rId3"/>
  </sheets>
  <definedNames>
    <definedName name="_xlnm.Print_Titles" localSheetId="1">'Resumen Packing List'!$8:$8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E21" i="4" l="1"/>
  <c r="E17" i="4" l="1"/>
</calcChain>
</file>

<file path=xl/sharedStrings.xml><?xml version="1.0" encoding="utf-8"?>
<sst xmlns="http://schemas.openxmlformats.org/spreadsheetml/2006/main" count="121" uniqueCount="104">
  <si>
    <t>El area de calidad confirma la liberacion del PT, via whatapp</t>
  </si>
  <si>
    <t>El asistente de almacen, genera el FORMULARIO DE INGRESO DE PT A ALMACEN</t>
  </si>
  <si>
    <t>N° OT (orden de trabajo)</t>
  </si>
  <si>
    <t>Datos del Cliente</t>
  </si>
  <si>
    <t>Cantidad del pedido por producto (kilos, Bolsas, Miles de Bolsas)</t>
  </si>
  <si>
    <t>Fecha del Pedido</t>
  </si>
  <si>
    <t>Fecha de Entrega</t>
  </si>
  <si>
    <t>Comecial</t>
  </si>
  <si>
    <t>Ciudad de Entrega</t>
  </si>
  <si>
    <t>Moneda</t>
  </si>
  <si>
    <t>Bs</t>
  </si>
  <si>
    <t>$us</t>
  </si>
  <si>
    <t>Fecha de entrega total del PT</t>
  </si>
  <si>
    <t>Codigo de Producto</t>
  </si>
  <si>
    <t>Descripcion del producto</t>
  </si>
  <si>
    <t>Una vez confirmada el pedido del cliente</t>
  </si>
  <si>
    <t>El asistente comercial genera y registra en el formulario de PEDIDOS en el SID</t>
  </si>
  <si>
    <t>Registra los datos generales del pedido</t>
  </si>
  <si>
    <t>Luego registra los datos generales del producto</t>
  </si>
  <si>
    <t>Nota: al registro actual se debe añadir el campo:</t>
  </si>
  <si>
    <t>Tipo de produccion:</t>
  </si>
  <si>
    <t>N (nueva produccion)</t>
  </si>
  <si>
    <t>R (repeticion de produccion)</t>
  </si>
  <si>
    <t>RC-ARTE (repeticion de produccion con cambio de estructura)</t>
  </si>
  <si>
    <t>Condicion de entrega:</t>
  </si>
  <si>
    <t>Breve descripcion de la condicion de entregha al cliente</t>
  </si>
  <si>
    <t>Nota. Se puede registrar varios tipos de producto</t>
  </si>
  <si>
    <t>3. RECOJO DE PT</t>
  </si>
  <si>
    <t>4. PESADO DE PT</t>
  </si>
  <si>
    <t>El ayudante registra el numero de OT</t>
  </si>
  <si>
    <t>El ayudante digita su CODIGO (codigo unico de personal) (con el fin de identificar a la persona que realizo el proceso de pesado)</t>
  </si>
  <si>
    <t>CASO BOBINAS</t>
  </si>
  <si>
    <t>El ayudante de PT, identifica en numero de OT y procede a recoger el PT (bolsas o bobinas) y traslada al area de pesado y/o embalado (bobinas = pesado; bolsas = embalado)</t>
  </si>
  <si>
    <t>El ayudante inicia con el pesado de las bobinas</t>
  </si>
  <si>
    <t>El ayudante imprime la etiqueta de la bobina pesada</t>
  </si>
  <si>
    <t>El ayudante pega o adjunta la etiqueta a la bobina</t>
  </si>
  <si>
    <t>CASO BOLSAS</t>
  </si>
  <si>
    <t>El ayudante registra la TARA del cono de la bobina (puede variar en funcion al tamaño de la bobina por especificacion del cliente)</t>
  </si>
  <si>
    <t>Una vez embalado las bolsas según la cantidad requerida o especificacion, el ayudante de PT traslada los paquetes al area de pesado.</t>
  </si>
  <si>
    <t>El ayudante inicia con el pesado de los paquetes de bolsas añadiendo la cantidad de bolsas o MB que contiene el paquete</t>
  </si>
  <si>
    <t>El ayudante imprime la etiqueta del paquete</t>
  </si>
  <si>
    <t>El ayudante pega o adjunta la etiqueta al paquete</t>
  </si>
  <si>
    <t>5. EMBALADO DE PT</t>
  </si>
  <si>
    <t>Una vez pesado la bobina, la misma es trasladada al area de embalado</t>
  </si>
  <si>
    <t>El ayudante digita su CODIGO (codigo unico de personal) (con el fin de identificar a la persona que realizo el proceso de embalado)</t>
  </si>
  <si>
    <t>El ayudante inicia con el embalado de las bobinas según la especificacion que corresponda</t>
  </si>
  <si>
    <t>Una vez que concluye con el embalado, el ayudante registra la conclusion del proceso en el sistema</t>
  </si>
  <si>
    <t>El ayudante registra el inicio del proceso de embalado en el sistema</t>
  </si>
  <si>
    <t>Una vez recogida las bolsas, la misma son trasladadas al area de embalado</t>
  </si>
  <si>
    <t>El ayudante inicia con el embalado de las bolsas según la especificacion que corresponda</t>
  </si>
  <si>
    <t>1. GENERACION DE LA OT (ORDEN DE TRABAJO)</t>
  </si>
  <si>
    <t>2. GENERACION DEL FORMULARIO DE INGRESO DE PRODUCTO TERMINADO A ALMACEN</t>
  </si>
  <si>
    <t>REPORTES REQUERIDOS</t>
  </si>
  <si>
    <t>Lista de empaque por CLIENTE y/o ORDEN DE TRABAJO</t>
  </si>
  <si>
    <t>Reporte de PESADO DE PT (BOBINA, BOLSA, MB, OT, cliente, dia, mes, año, ayudante)</t>
  </si>
  <si>
    <t>Reporte de EMBALADO DE PT (BOBINA, BOLSA, MB, OT, cliente, dia, mes, año, ayudante)</t>
  </si>
  <si>
    <t>P2 - Almacen Despacho</t>
  </si>
  <si>
    <t>PO00870</t>
  </si>
  <si>
    <t>Guia_Venta</t>
  </si>
  <si>
    <t>FURGON</t>
  </si>
  <si>
    <t>A004 - 17885</t>
  </si>
  <si>
    <t>---</t>
  </si>
  <si>
    <t>005-0117155</t>
  </si>
  <si>
    <t>Resumen Packing List</t>
  </si>
  <si>
    <t>OC:</t>
  </si>
  <si>
    <t>Cliente:</t>
  </si>
  <si>
    <t>Peso Bruto Kg</t>
  </si>
  <si>
    <t>Peso Neto Kg</t>
  </si>
  <si>
    <t>Bobinas</t>
  </si>
  <si>
    <t>Paquetes</t>
  </si>
  <si>
    <t>Cod Barra</t>
  </si>
  <si>
    <t>Nro. Unico</t>
  </si>
  <si>
    <t>Código</t>
  </si>
  <si>
    <t>Descripcion</t>
  </si>
  <si>
    <t>Almacen:</t>
  </si>
  <si>
    <t>Documento:</t>
  </si>
  <si>
    <t>Numero:</t>
  </si>
  <si>
    <t>Orden:</t>
  </si>
  <si>
    <t>Fecha:</t>
  </si>
  <si>
    <t>Factura:</t>
  </si>
  <si>
    <t>Transporte:</t>
  </si>
  <si>
    <t>Total Bobinas:</t>
  </si>
  <si>
    <t>Total Paquetes:</t>
  </si>
  <si>
    <t>HIPERMAXI S.A.</t>
  </si>
  <si>
    <t>Sarita Bobinas 50u Ajo S.Riicc 28x8.5 cm</t>
  </si>
  <si>
    <t>3500080-0001</t>
  </si>
  <si>
    <t>10000210105414</t>
  </si>
  <si>
    <t>Lista de pedidos</t>
  </si>
  <si>
    <t>6. PALLETIZADO DE PT</t>
  </si>
  <si>
    <t>El ayudante digita su CODIGO (codigo unico de personal) (con el fin de identificar a la persona que realizo el proceso de palletizado)</t>
  </si>
  <si>
    <t>El ayudante registra el inicio del proceso de palletizado en el sistema</t>
  </si>
  <si>
    <t>El ayudante inicia con el palletizado según la especificacion que corresponda</t>
  </si>
  <si>
    <t>Una vez que concluye con el palletizado, el ayudante registra los datos del pallet</t>
  </si>
  <si>
    <t>El ayudante registra la conclusion del proceso en el sistema</t>
  </si>
  <si>
    <t>Nro de pallet</t>
  </si>
  <si>
    <t>Cantidad de bobinas o paquetes en el pallet</t>
  </si>
  <si>
    <t>El ayudante imprime la etiqueta del pallet</t>
  </si>
  <si>
    <t>Mb</t>
  </si>
  <si>
    <t>Und.</t>
  </si>
  <si>
    <t>Total Mb:</t>
  </si>
  <si>
    <t>Total Unidades:</t>
  </si>
  <si>
    <t>El supervisor de almacen, general el reporte de AGRUPACION DE PALLET, mismo que incluye la cantidad, codigo, peso (neto/bruto) de bobinas o paquetes y entrega al ayudante para proceder con el palletizado</t>
  </si>
  <si>
    <t>Lista de empaque por PALLET</t>
  </si>
  <si>
    <t>cuantos caracteres se necesita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</si>
</sst>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#.00"/>
    <numFmt numFmtId="166" formatCode="#,###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0" applyNumberFormat="1"/>
    <xf numFmtId="49" fontId="6" fillId="0" borderId="0" xfId="0" applyNumberFormat="1" applyFont="1" applyAlignment="1">
      <alignment horizontal="right"/>
    </xf>
    <xf numFmtId="0" fontId="6" fillId="0" borderId="0" xfId="0" applyFont="1"/>
    <xf numFmtId="165" fontId="6" fillId="0" borderId="0" xfId="0" applyNumberFormat="1" applyFont="1"/>
    <xf numFmtId="165" fontId="5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5" fillId="0" borderId="0" xfId="0" applyFont="1"/>
    <xf numFmtId="49" fontId="0" fillId="0" borderId="0" xfId="0" applyNumberFormat="1" applyAlignment="1">
      <alignment horizontal="right"/>
    </xf>
    <xf numFmtId="166" fontId="7" fillId="0" borderId="0" xfId="0" applyNumberFormat="1" applyFont="1"/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165" fontId="9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5</xdr:row>
      <xdr:rowOff>22860</xdr:rowOff>
    </xdr:from>
    <xdr:to>
      <xdr:col>8</xdr:col>
      <xdr:colOff>693421</xdr:colOff>
      <xdr:row>23</xdr:row>
      <xdr:rowOff>97668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C5D244-5DB0-7078-19B5-1DD2309EA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989" r="3428"/>
        <a:stretch>
          <a:fillRect/>
        </a:stretch>
      </xdr:blipFill>
      <xdr:spPr>
        <a:xfrm>
          <a:off x="1257301" y="784860"/>
          <a:ext cx="4472939" cy="2818008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33</xdr:row>
      <xdr:rowOff>30481</xdr:rowOff>
    </xdr:from>
    <xdr:to>
      <xdr:col>8</xdr:col>
      <xdr:colOff>746305</xdr:colOff>
      <xdr:row>51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AE7CED-38E1-74DD-3A45-23F29AB38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2" y="3840481"/>
          <a:ext cx="4525822" cy="2758439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56</xdr:row>
      <xdr:rowOff>7620</xdr:rowOff>
    </xdr:from>
    <xdr:to>
      <xdr:col>12</xdr:col>
      <xdr:colOff>746067</xdr:colOff>
      <xdr:row>89</xdr:row>
      <xdr:rowOff>129540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AFF057B-0CB9-F3A1-8BB6-214DE550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4440" y="8542020"/>
          <a:ext cx="3908367" cy="515112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102</xdr:row>
      <xdr:rowOff>30481</xdr:rowOff>
    </xdr:from>
    <xdr:to>
      <xdr:col>7</xdr:col>
      <xdr:colOff>403860</xdr:colOff>
      <xdr:row>116</xdr:row>
      <xdr:rowOff>143156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D88A31-950C-7402-9111-4106F24DB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726" y="15575281"/>
          <a:ext cx="3385184" cy="2246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7</xdr:col>
      <xdr:colOff>403859</xdr:colOff>
      <xdr:row>139</xdr:row>
      <xdr:rowOff>112675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DE44D72-DACE-4538-88A7-62A177F5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7300" y="19202400"/>
          <a:ext cx="3390899" cy="2246275"/>
        </a:xfrm>
        <a:prstGeom prst="rect">
          <a:avLst/>
        </a:prstGeom>
      </xdr:spPr>
    </xdr:pic>
    <xdr:clientData/>
  </xdr:twoCellAnchor>
  <xdr:twoCellAnchor editAs="oneCell">
    <xdr:from>
      <xdr:col>2</xdr:col>
      <xdr:colOff>26276</xdr:colOff>
      <xdr:row>169</xdr:row>
      <xdr:rowOff>21020</xdr:rowOff>
    </xdr:from>
    <xdr:to>
      <xdr:col>7</xdr:col>
      <xdr:colOff>369705</xdr:colOff>
      <xdr:row>181</xdr:row>
      <xdr:rowOff>116927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B9FC1F-A539-98DB-1A2B-DDB91949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517" y="25776620"/>
          <a:ext cx="3333622" cy="1924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4"/>
  <sheetViews>
    <sheetView tabSelected="1" topLeftCell="A124" zoomScale="160" zoomScaleNormal="160" workbookViewId="0">
      <selection activeCell="J110" sqref="J110"/>
    </sheetView>
  </sheetViews>
  <sheetFormatPr baseColWidth="10" defaultRowHeight="12" x14ac:dyDescent="0.25"/>
  <cols>
    <col min="1" max="1" width="3.109375" style="1" customWidth="1"/>
    <col min="2" max="2" width="3.6640625" style="1" customWidth="1"/>
    <col min="3" max="3" width="4.109375" style="1" customWidth="1"/>
    <col min="4" max="4" width="4.77734375" style="1" customWidth="1"/>
    <col min="5" max="16384" width="11.5546875" style="1"/>
  </cols>
  <sheetData>
    <row r="2" spans="1:3" s="2" customFormat="1" x14ac:dyDescent="0.25">
      <c r="A2" s="2" t="s">
        <v>50</v>
      </c>
    </row>
    <row r="3" spans="1:3" x14ac:dyDescent="0.25">
      <c r="B3" s="1" t="s">
        <v>15</v>
      </c>
    </row>
    <row r="4" spans="1:3" x14ac:dyDescent="0.25">
      <c r="B4" s="1" t="s">
        <v>16</v>
      </c>
    </row>
    <row r="5" spans="1:3" x14ac:dyDescent="0.25">
      <c r="C5" s="1" t="s">
        <v>17</v>
      </c>
    </row>
    <row r="25" spans="3:9" x14ac:dyDescent="0.25">
      <c r="C25" s="1" t="s">
        <v>19</v>
      </c>
    </row>
    <row r="26" spans="3:9" x14ac:dyDescent="0.25">
      <c r="D26" s="1" t="s">
        <v>20</v>
      </c>
    </row>
    <row r="27" spans="3:9" x14ac:dyDescent="0.25">
      <c r="E27" s="1" t="s">
        <v>22</v>
      </c>
    </row>
    <row r="28" spans="3:9" x14ac:dyDescent="0.25">
      <c r="E28" s="1" t="s">
        <v>23</v>
      </c>
    </row>
    <row r="29" spans="3:9" x14ac:dyDescent="0.25">
      <c r="E29" s="1" t="s">
        <v>21</v>
      </c>
    </row>
    <row r="30" spans="3:9" x14ac:dyDescent="0.25">
      <c r="D30" s="1" t="s">
        <v>24</v>
      </c>
    </row>
    <row r="31" spans="3:9" x14ac:dyDescent="0.25">
      <c r="E31" s="1" t="s">
        <v>25</v>
      </c>
      <c r="I31" s="21" t="s">
        <v>103</v>
      </c>
    </row>
    <row r="33" spans="3:3" x14ac:dyDescent="0.25">
      <c r="C33" s="1" t="s">
        <v>18</v>
      </c>
    </row>
    <row r="53" spans="1:9" x14ac:dyDescent="0.25">
      <c r="C53" s="1" t="s">
        <v>26</v>
      </c>
    </row>
    <row r="55" spans="1:9" s="2" customFormat="1" x14ac:dyDescent="0.25">
      <c r="A55" s="2" t="s">
        <v>51</v>
      </c>
    </row>
    <row r="56" spans="1:9" x14ac:dyDescent="0.25">
      <c r="B56" s="1" t="s">
        <v>1</v>
      </c>
    </row>
    <row r="57" spans="1:9" x14ac:dyDescent="0.25">
      <c r="C57" s="1" t="s">
        <v>2</v>
      </c>
      <c r="I57" s="21"/>
    </row>
    <row r="58" spans="1:9" x14ac:dyDescent="0.25">
      <c r="C58" s="1" t="s">
        <v>3</v>
      </c>
    </row>
    <row r="59" spans="1:9" x14ac:dyDescent="0.25">
      <c r="C59" s="1" t="s">
        <v>5</v>
      </c>
    </row>
    <row r="60" spans="1:9" x14ac:dyDescent="0.25">
      <c r="C60" s="1" t="s">
        <v>6</v>
      </c>
    </row>
    <row r="61" spans="1:9" x14ac:dyDescent="0.25">
      <c r="C61" s="1" t="s">
        <v>7</v>
      </c>
    </row>
    <row r="62" spans="1:9" x14ac:dyDescent="0.25">
      <c r="C62" s="1" t="s">
        <v>8</v>
      </c>
    </row>
    <row r="63" spans="1:9" x14ac:dyDescent="0.25">
      <c r="C63" s="1" t="s">
        <v>9</v>
      </c>
    </row>
    <row r="64" spans="1:9" x14ac:dyDescent="0.25">
      <c r="D64" s="1" t="s">
        <v>10</v>
      </c>
    </row>
    <row r="65" spans="3:4" x14ac:dyDescent="0.25">
      <c r="D65" s="1" t="s">
        <v>11</v>
      </c>
    </row>
    <row r="66" spans="3:4" x14ac:dyDescent="0.25">
      <c r="C66" s="1" t="s">
        <v>20</v>
      </c>
    </row>
    <row r="67" spans="3:4" x14ac:dyDescent="0.25">
      <c r="D67" s="1" t="s">
        <v>22</v>
      </c>
    </row>
    <row r="68" spans="3:4" x14ac:dyDescent="0.25">
      <c r="D68" s="1" t="s">
        <v>23</v>
      </c>
    </row>
    <row r="69" spans="3:4" x14ac:dyDescent="0.25">
      <c r="D69" s="1" t="s">
        <v>21</v>
      </c>
    </row>
    <row r="70" spans="3:4" x14ac:dyDescent="0.25">
      <c r="C70" s="1" t="s">
        <v>12</v>
      </c>
    </row>
    <row r="71" spans="3:4" x14ac:dyDescent="0.25">
      <c r="C71" s="1" t="s">
        <v>13</v>
      </c>
    </row>
    <row r="72" spans="3:4" x14ac:dyDescent="0.25">
      <c r="D72" s="1">
        <v>1</v>
      </c>
    </row>
    <row r="73" spans="3:4" x14ac:dyDescent="0.25">
      <c r="D73" s="1">
        <v>2</v>
      </c>
    </row>
    <row r="74" spans="3:4" x14ac:dyDescent="0.25">
      <c r="D74" s="1">
        <v>3</v>
      </c>
    </row>
    <row r="75" spans="3:4" x14ac:dyDescent="0.25">
      <c r="D75" s="1">
        <v>4</v>
      </c>
    </row>
    <row r="76" spans="3:4" x14ac:dyDescent="0.25">
      <c r="D76" s="1">
        <v>5</v>
      </c>
    </row>
    <row r="77" spans="3:4" x14ac:dyDescent="0.25">
      <c r="C77" s="1" t="s">
        <v>14</v>
      </c>
    </row>
    <row r="78" spans="3:4" x14ac:dyDescent="0.25">
      <c r="D78" s="1">
        <v>1</v>
      </c>
    </row>
    <row r="79" spans="3:4" x14ac:dyDescent="0.25">
      <c r="D79" s="1">
        <v>2</v>
      </c>
    </row>
    <row r="80" spans="3:4" x14ac:dyDescent="0.25">
      <c r="D80" s="1">
        <v>3</v>
      </c>
    </row>
    <row r="81" spans="1:4" x14ac:dyDescent="0.25">
      <c r="D81" s="1">
        <v>4</v>
      </c>
    </row>
    <row r="82" spans="1:4" x14ac:dyDescent="0.25">
      <c r="D82" s="1">
        <v>5</v>
      </c>
    </row>
    <row r="83" spans="1:4" x14ac:dyDescent="0.25">
      <c r="C83" s="1" t="s">
        <v>4</v>
      </c>
    </row>
    <row r="84" spans="1:4" x14ac:dyDescent="0.25">
      <c r="D84" s="1">
        <v>1</v>
      </c>
    </row>
    <row r="85" spans="1:4" x14ac:dyDescent="0.25">
      <c r="D85" s="1">
        <v>2</v>
      </c>
    </row>
    <row r="86" spans="1:4" x14ac:dyDescent="0.25">
      <c r="D86" s="1">
        <v>3</v>
      </c>
    </row>
    <row r="87" spans="1:4" x14ac:dyDescent="0.25">
      <c r="D87" s="1">
        <v>4</v>
      </c>
    </row>
    <row r="88" spans="1:4" x14ac:dyDescent="0.25">
      <c r="D88" s="1">
        <v>5</v>
      </c>
    </row>
    <row r="89" spans="1:4" x14ac:dyDescent="0.25">
      <c r="C89" s="1" t="s">
        <v>24</v>
      </c>
    </row>
    <row r="90" spans="1:4" x14ac:dyDescent="0.25">
      <c r="D90" s="1" t="s">
        <v>25</v>
      </c>
    </row>
    <row r="92" spans="1:4" s="2" customFormat="1" x14ac:dyDescent="0.25">
      <c r="A92" s="2" t="s">
        <v>27</v>
      </c>
    </row>
    <row r="93" spans="1:4" x14ac:dyDescent="0.25">
      <c r="B93" s="1" t="s">
        <v>0</v>
      </c>
    </row>
    <row r="94" spans="1:4" x14ac:dyDescent="0.25">
      <c r="B94" s="1" t="s">
        <v>32</v>
      </c>
    </row>
    <row r="96" spans="1:4" s="2" customFormat="1" x14ac:dyDescent="0.25">
      <c r="A96" s="2" t="s">
        <v>28</v>
      </c>
    </row>
    <row r="97" spans="2:2" s="2" customFormat="1" x14ac:dyDescent="0.25">
      <c r="B97" s="2" t="s">
        <v>31</v>
      </c>
    </row>
    <row r="98" spans="2:2" x14ac:dyDescent="0.25">
      <c r="B98" s="1" t="s">
        <v>30</v>
      </c>
    </row>
    <row r="99" spans="2:2" x14ac:dyDescent="0.25">
      <c r="B99" s="1" t="s">
        <v>29</v>
      </c>
    </row>
    <row r="100" spans="2:2" x14ac:dyDescent="0.25">
      <c r="B100" s="1" t="s">
        <v>37</v>
      </c>
    </row>
    <row r="101" spans="2:2" x14ac:dyDescent="0.25">
      <c r="B101" s="1" t="s">
        <v>33</v>
      </c>
    </row>
    <row r="102" spans="2:2" x14ac:dyDescent="0.25">
      <c r="B102" s="1" t="s">
        <v>34</v>
      </c>
    </row>
    <row r="118" spans="2:2" x14ac:dyDescent="0.25">
      <c r="B118" s="1" t="s">
        <v>35</v>
      </c>
    </row>
    <row r="120" spans="2:2" s="2" customFormat="1" x14ac:dyDescent="0.25">
      <c r="B120" s="2" t="s">
        <v>36</v>
      </c>
    </row>
    <row r="121" spans="2:2" x14ac:dyDescent="0.25">
      <c r="B121" s="1" t="s">
        <v>38</v>
      </c>
    </row>
    <row r="122" spans="2:2" x14ac:dyDescent="0.25">
      <c r="B122" s="1" t="s">
        <v>30</v>
      </c>
    </row>
    <row r="123" spans="2:2" x14ac:dyDescent="0.25">
      <c r="B123" s="1" t="s">
        <v>29</v>
      </c>
    </row>
    <row r="124" spans="2:2" x14ac:dyDescent="0.25">
      <c r="B124" s="1" t="s">
        <v>39</v>
      </c>
    </row>
    <row r="125" spans="2:2" x14ac:dyDescent="0.25">
      <c r="B125" s="1" t="s">
        <v>40</v>
      </c>
    </row>
    <row r="141" spans="1:3" x14ac:dyDescent="0.25">
      <c r="B141" s="1" t="s">
        <v>41</v>
      </c>
    </row>
    <row r="143" spans="1:3" x14ac:dyDescent="0.25">
      <c r="A143" s="2" t="s">
        <v>42</v>
      </c>
      <c r="B143" s="2"/>
      <c r="C143" s="2"/>
    </row>
    <row r="144" spans="1:3" x14ac:dyDescent="0.25">
      <c r="B144" s="2" t="s">
        <v>31</v>
      </c>
      <c r="C144" s="2"/>
    </row>
    <row r="145" spans="1:3" x14ac:dyDescent="0.25">
      <c r="B145" s="1" t="s">
        <v>43</v>
      </c>
    </row>
    <row r="146" spans="1:3" x14ac:dyDescent="0.25">
      <c r="B146" s="1" t="s">
        <v>44</v>
      </c>
    </row>
    <row r="147" spans="1:3" x14ac:dyDescent="0.25">
      <c r="B147" s="1" t="s">
        <v>29</v>
      </c>
    </row>
    <row r="148" spans="1:3" x14ac:dyDescent="0.25">
      <c r="B148" s="1" t="s">
        <v>47</v>
      </c>
    </row>
    <row r="149" spans="1:3" x14ac:dyDescent="0.25">
      <c r="B149" s="1" t="s">
        <v>45</v>
      </c>
    </row>
    <row r="150" spans="1:3" x14ac:dyDescent="0.25">
      <c r="B150" s="1" t="s">
        <v>46</v>
      </c>
    </row>
    <row r="151" spans="1:3" x14ac:dyDescent="0.25">
      <c r="B151" s="2" t="s">
        <v>36</v>
      </c>
      <c r="C151" s="2"/>
    </row>
    <row r="152" spans="1:3" x14ac:dyDescent="0.25">
      <c r="B152" s="1" t="s">
        <v>48</v>
      </c>
    </row>
    <row r="153" spans="1:3" x14ac:dyDescent="0.25">
      <c r="B153" s="1" t="s">
        <v>44</v>
      </c>
    </row>
    <row r="154" spans="1:3" x14ac:dyDescent="0.25">
      <c r="B154" s="1" t="s">
        <v>29</v>
      </c>
    </row>
    <row r="155" spans="1:3" x14ac:dyDescent="0.25">
      <c r="B155" s="1" t="s">
        <v>47</v>
      </c>
    </row>
    <row r="156" spans="1:3" x14ac:dyDescent="0.25">
      <c r="B156" s="1" t="s">
        <v>49</v>
      </c>
    </row>
    <row r="157" spans="1:3" x14ac:dyDescent="0.25">
      <c r="B157" s="1" t="s">
        <v>46</v>
      </c>
    </row>
    <row r="159" spans="1:3" x14ac:dyDescent="0.25">
      <c r="A159" s="2" t="s">
        <v>88</v>
      </c>
    </row>
    <row r="160" spans="1:3" x14ac:dyDescent="0.25">
      <c r="B160" s="1" t="s">
        <v>101</v>
      </c>
    </row>
    <row r="161" spans="2:3" x14ac:dyDescent="0.25">
      <c r="B161" s="1" t="s">
        <v>89</v>
      </c>
    </row>
    <row r="162" spans="2:3" x14ac:dyDescent="0.25">
      <c r="B162" s="1" t="s">
        <v>29</v>
      </c>
    </row>
    <row r="163" spans="2:3" x14ac:dyDescent="0.25">
      <c r="B163" s="1" t="s">
        <v>90</v>
      </c>
    </row>
    <row r="164" spans="2:3" x14ac:dyDescent="0.25">
      <c r="B164" s="1" t="s">
        <v>91</v>
      </c>
    </row>
    <row r="165" spans="2:3" x14ac:dyDescent="0.25">
      <c r="B165" s="1" t="s">
        <v>92</v>
      </c>
    </row>
    <row r="166" spans="2:3" x14ac:dyDescent="0.25">
      <c r="C166" s="1" t="s">
        <v>94</v>
      </c>
    </row>
    <row r="167" spans="2:3" x14ac:dyDescent="0.25">
      <c r="C167" s="1" t="s">
        <v>95</v>
      </c>
    </row>
    <row r="168" spans="2:3" x14ac:dyDescent="0.25">
      <c r="C168" s="1" t="s">
        <v>95</v>
      </c>
    </row>
    <row r="169" spans="2:3" x14ac:dyDescent="0.25">
      <c r="C169" s="1" t="s">
        <v>96</v>
      </c>
    </row>
    <row r="184" spans="1:2" x14ac:dyDescent="0.25">
      <c r="B184" s="1" t="s">
        <v>93</v>
      </c>
    </row>
    <row r="185" spans="1:2" ht="15" customHeight="1" x14ac:dyDescent="0.25"/>
    <row r="189" spans="1:2" x14ac:dyDescent="0.25">
      <c r="A189" s="2" t="s">
        <v>52</v>
      </c>
    </row>
    <row r="190" spans="1:2" x14ac:dyDescent="0.25">
      <c r="B190" s="1" t="s">
        <v>53</v>
      </c>
    </row>
    <row r="191" spans="1:2" x14ac:dyDescent="0.25">
      <c r="B191" s="1" t="s">
        <v>102</v>
      </c>
    </row>
    <row r="192" spans="1:2" x14ac:dyDescent="0.25">
      <c r="B192" s="1" t="s">
        <v>54</v>
      </c>
    </row>
    <row r="193" spans="2:2" x14ac:dyDescent="0.25">
      <c r="B193" s="1" t="s">
        <v>55</v>
      </c>
    </row>
    <row r="194" spans="2:2" x14ac:dyDescent="0.25">
      <c r="B194" s="1" t="s">
        <v>87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E17" sqref="E17"/>
    </sheetView>
  </sheetViews>
  <sheetFormatPr baseColWidth="10" defaultRowHeight="14.4" x14ac:dyDescent="0.3"/>
  <cols>
    <col min="1" max="1" width="24.33203125" bestFit="1" customWidth="1"/>
    <col min="2" max="2" width="35.77734375" bestFit="1" customWidth="1"/>
    <col min="3" max="3" width="19.109375" bestFit="1" customWidth="1"/>
    <col min="4" max="4" width="28.109375" bestFit="1" customWidth="1"/>
    <col min="5" max="5" width="13.21875" bestFit="1" customWidth="1"/>
    <col min="6" max="6" width="10.77734375" bestFit="1" customWidth="1"/>
    <col min="7" max="7" width="13" bestFit="1" customWidth="1"/>
    <col min="8" max="8" width="13.88671875" bestFit="1" customWidth="1"/>
    <col min="9" max="9" width="8.5546875" customWidth="1"/>
    <col min="10" max="10" width="12.88671875" customWidth="1"/>
    <col min="255" max="255" width="24.33203125" bestFit="1" customWidth="1"/>
    <col min="256" max="256" width="35.77734375" bestFit="1" customWidth="1"/>
    <col min="257" max="257" width="19.88671875" bestFit="1" customWidth="1"/>
    <col min="258" max="258" width="19.109375" bestFit="1" customWidth="1"/>
    <col min="259" max="259" width="25.5546875" bestFit="1" customWidth="1"/>
    <col min="260" max="260" width="13.21875" bestFit="1" customWidth="1"/>
    <col min="261" max="261" width="10.77734375" bestFit="1" customWidth="1"/>
    <col min="262" max="262" width="13" bestFit="1" customWidth="1"/>
    <col min="263" max="263" width="13.88671875" bestFit="1" customWidth="1"/>
    <col min="264" max="264" width="11.21875" bestFit="1" customWidth="1"/>
    <col min="265" max="265" width="6.88671875" bestFit="1" customWidth="1"/>
    <col min="266" max="266" width="12" bestFit="1" customWidth="1"/>
    <col min="511" max="511" width="24.33203125" bestFit="1" customWidth="1"/>
    <col min="512" max="512" width="35.77734375" bestFit="1" customWidth="1"/>
    <col min="513" max="513" width="19.88671875" bestFit="1" customWidth="1"/>
    <col min="514" max="514" width="19.109375" bestFit="1" customWidth="1"/>
    <col min="515" max="515" width="25.5546875" bestFit="1" customWidth="1"/>
    <col min="516" max="516" width="13.21875" bestFit="1" customWidth="1"/>
    <col min="517" max="517" width="10.77734375" bestFit="1" customWidth="1"/>
    <col min="518" max="518" width="13" bestFit="1" customWidth="1"/>
    <col min="519" max="519" width="13.88671875" bestFit="1" customWidth="1"/>
    <col min="520" max="520" width="11.21875" bestFit="1" customWidth="1"/>
    <col min="521" max="521" width="6.88671875" bestFit="1" customWidth="1"/>
    <col min="522" max="522" width="12" bestFit="1" customWidth="1"/>
    <col min="767" max="767" width="24.33203125" bestFit="1" customWidth="1"/>
    <col min="768" max="768" width="35.77734375" bestFit="1" customWidth="1"/>
    <col min="769" max="769" width="19.88671875" bestFit="1" customWidth="1"/>
    <col min="770" max="770" width="19.109375" bestFit="1" customWidth="1"/>
    <col min="771" max="771" width="25.5546875" bestFit="1" customWidth="1"/>
    <col min="772" max="772" width="13.21875" bestFit="1" customWidth="1"/>
    <col min="773" max="773" width="10.77734375" bestFit="1" customWidth="1"/>
    <col min="774" max="774" width="13" bestFit="1" customWidth="1"/>
    <col min="775" max="775" width="13.88671875" bestFit="1" customWidth="1"/>
    <col min="776" max="776" width="11.21875" bestFit="1" customWidth="1"/>
    <col min="777" max="777" width="6.88671875" bestFit="1" customWidth="1"/>
    <col min="778" max="778" width="12" bestFit="1" customWidth="1"/>
    <col min="1023" max="1023" width="24.33203125" bestFit="1" customWidth="1"/>
    <col min="1024" max="1024" width="35.77734375" bestFit="1" customWidth="1"/>
    <col min="1025" max="1025" width="19.88671875" bestFit="1" customWidth="1"/>
    <col min="1026" max="1026" width="19.109375" bestFit="1" customWidth="1"/>
    <col min="1027" max="1027" width="25.5546875" bestFit="1" customWidth="1"/>
    <col min="1028" max="1028" width="13.21875" bestFit="1" customWidth="1"/>
    <col min="1029" max="1029" width="10.77734375" bestFit="1" customWidth="1"/>
    <col min="1030" max="1030" width="13" bestFit="1" customWidth="1"/>
    <col min="1031" max="1031" width="13.88671875" bestFit="1" customWidth="1"/>
    <col min="1032" max="1032" width="11.21875" bestFit="1" customWidth="1"/>
    <col min="1033" max="1033" width="6.88671875" bestFit="1" customWidth="1"/>
    <col min="1034" max="1034" width="12" bestFit="1" customWidth="1"/>
    <col min="1279" max="1279" width="24.33203125" bestFit="1" customWidth="1"/>
    <col min="1280" max="1280" width="35.77734375" bestFit="1" customWidth="1"/>
    <col min="1281" max="1281" width="19.88671875" bestFit="1" customWidth="1"/>
    <col min="1282" max="1282" width="19.109375" bestFit="1" customWidth="1"/>
    <col min="1283" max="1283" width="25.5546875" bestFit="1" customWidth="1"/>
    <col min="1284" max="1284" width="13.21875" bestFit="1" customWidth="1"/>
    <col min="1285" max="1285" width="10.77734375" bestFit="1" customWidth="1"/>
    <col min="1286" max="1286" width="13" bestFit="1" customWidth="1"/>
    <col min="1287" max="1287" width="13.88671875" bestFit="1" customWidth="1"/>
    <col min="1288" max="1288" width="11.21875" bestFit="1" customWidth="1"/>
    <col min="1289" max="1289" width="6.88671875" bestFit="1" customWidth="1"/>
    <col min="1290" max="1290" width="12" bestFit="1" customWidth="1"/>
    <col min="1535" max="1535" width="24.33203125" bestFit="1" customWidth="1"/>
    <col min="1536" max="1536" width="35.77734375" bestFit="1" customWidth="1"/>
    <col min="1537" max="1537" width="19.88671875" bestFit="1" customWidth="1"/>
    <col min="1538" max="1538" width="19.109375" bestFit="1" customWidth="1"/>
    <col min="1539" max="1539" width="25.5546875" bestFit="1" customWidth="1"/>
    <col min="1540" max="1540" width="13.21875" bestFit="1" customWidth="1"/>
    <col min="1541" max="1541" width="10.77734375" bestFit="1" customWidth="1"/>
    <col min="1542" max="1542" width="13" bestFit="1" customWidth="1"/>
    <col min="1543" max="1543" width="13.88671875" bestFit="1" customWidth="1"/>
    <col min="1544" max="1544" width="11.21875" bestFit="1" customWidth="1"/>
    <col min="1545" max="1545" width="6.88671875" bestFit="1" customWidth="1"/>
    <col min="1546" max="1546" width="12" bestFit="1" customWidth="1"/>
    <col min="1791" max="1791" width="24.33203125" bestFit="1" customWidth="1"/>
    <col min="1792" max="1792" width="35.77734375" bestFit="1" customWidth="1"/>
    <col min="1793" max="1793" width="19.88671875" bestFit="1" customWidth="1"/>
    <col min="1794" max="1794" width="19.109375" bestFit="1" customWidth="1"/>
    <col min="1795" max="1795" width="25.5546875" bestFit="1" customWidth="1"/>
    <col min="1796" max="1796" width="13.21875" bestFit="1" customWidth="1"/>
    <col min="1797" max="1797" width="10.77734375" bestFit="1" customWidth="1"/>
    <col min="1798" max="1798" width="13" bestFit="1" customWidth="1"/>
    <col min="1799" max="1799" width="13.88671875" bestFit="1" customWidth="1"/>
    <col min="1800" max="1800" width="11.21875" bestFit="1" customWidth="1"/>
    <col min="1801" max="1801" width="6.88671875" bestFit="1" customWidth="1"/>
    <col min="1802" max="1802" width="12" bestFit="1" customWidth="1"/>
    <col min="2047" max="2047" width="24.33203125" bestFit="1" customWidth="1"/>
    <col min="2048" max="2048" width="35.77734375" bestFit="1" customWidth="1"/>
    <col min="2049" max="2049" width="19.88671875" bestFit="1" customWidth="1"/>
    <col min="2050" max="2050" width="19.109375" bestFit="1" customWidth="1"/>
    <col min="2051" max="2051" width="25.5546875" bestFit="1" customWidth="1"/>
    <col min="2052" max="2052" width="13.21875" bestFit="1" customWidth="1"/>
    <col min="2053" max="2053" width="10.77734375" bestFit="1" customWidth="1"/>
    <col min="2054" max="2054" width="13" bestFit="1" customWidth="1"/>
    <col min="2055" max="2055" width="13.88671875" bestFit="1" customWidth="1"/>
    <col min="2056" max="2056" width="11.21875" bestFit="1" customWidth="1"/>
    <col min="2057" max="2057" width="6.88671875" bestFit="1" customWidth="1"/>
    <col min="2058" max="2058" width="12" bestFit="1" customWidth="1"/>
    <col min="2303" max="2303" width="24.33203125" bestFit="1" customWidth="1"/>
    <col min="2304" max="2304" width="35.77734375" bestFit="1" customWidth="1"/>
    <col min="2305" max="2305" width="19.88671875" bestFit="1" customWidth="1"/>
    <col min="2306" max="2306" width="19.109375" bestFit="1" customWidth="1"/>
    <col min="2307" max="2307" width="25.5546875" bestFit="1" customWidth="1"/>
    <col min="2308" max="2308" width="13.21875" bestFit="1" customWidth="1"/>
    <col min="2309" max="2309" width="10.77734375" bestFit="1" customWidth="1"/>
    <col min="2310" max="2310" width="13" bestFit="1" customWidth="1"/>
    <col min="2311" max="2311" width="13.88671875" bestFit="1" customWidth="1"/>
    <col min="2312" max="2312" width="11.21875" bestFit="1" customWidth="1"/>
    <col min="2313" max="2313" width="6.88671875" bestFit="1" customWidth="1"/>
    <col min="2314" max="2314" width="12" bestFit="1" customWidth="1"/>
    <col min="2559" max="2559" width="24.33203125" bestFit="1" customWidth="1"/>
    <col min="2560" max="2560" width="35.77734375" bestFit="1" customWidth="1"/>
    <col min="2561" max="2561" width="19.88671875" bestFit="1" customWidth="1"/>
    <col min="2562" max="2562" width="19.109375" bestFit="1" customWidth="1"/>
    <col min="2563" max="2563" width="25.5546875" bestFit="1" customWidth="1"/>
    <col min="2564" max="2564" width="13.21875" bestFit="1" customWidth="1"/>
    <col min="2565" max="2565" width="10.77734375" bestFit="1" customWidth="1"/>
    <col min="2566" max="2566" width="13" bestFit="1" customWidth="1"/>
    <col min="2567" max="2567" width="13.88671875" bestFit="1" customWidth="1"/>
    <col min="2568" max="2568" width="11.21875" bestFit="1" customWidth="1"/>
    <col min="2569" max="2569" width="6.88671875" bestFit="1" customWidth="1"/>
    <col min="2570" max="2570" width="12" bestFit="1" customWidth="1"/>
    <col min="2815" max="2815" width="24.33203125" bestFit="1" customWidth="1"/>
    <col min="2816" max="2816" width="35.77734375" bestFit="1" customWidth="1"/>
    <col min="2817" max="2817" width="19.88671875" bestFit="1" customWidth="1"/>
    <col min="2818" max="2818" width="19.109375" bestFit="1" customWidth="1"/>
    <col min="2819" max="2819" width="25.5546875" bestFit="1" customWidth="1"/>
    <col min="2820" max="2820" width="13.21875" bestFit="1" customWidth="1"/>
    <col min="2821" max="2821" width="10.77734375" bestFit="1" customWidth="1"/>
    <col min="2822" max="2822" width="13" bestFit="1" customWidth="1"/>
    <col min="2823" max="2823" width="13.88671875" bestFit="1" customWidth="1"/>
    <col min="2824" max="2824" width="11.21875" bestFit="1" customWidth="1"/>
    <col min="2825" max="2825" width="6.88671875" bestFit="1" customWidth="1"/>
    <col min="2826" max="2826" width="12" bestFit="1" customWidth="1"/>
    <col min="3071" max="3071" width="24.33203125" bestFit="1" customWidth="1"/>
    <col min="3072" max="3072" width="35.77734375" bestFit="1" customWidth="1"/>
    <col min="3073" max="3073" width="19.88671875" bestFit="1" customWidth="1"/>
    <col min="3074" max="3074" width="19.109375" bestFit="1" customWidth="1"/>
    <col min="3075" max="3075" width="25.5546875" bestFit="1" customWidth="1"/>
    <col min="3076" max="3076" width="13.21875" bestFit="1" customWidth="1"/>
    <col min="3077" max="3077" width="10.77734375" bestFit="1" customWidth="1"/>
    <col min="3078" max="3078" width="13" bestFit="1" customWidth="1"/>
    <col min="3079" max="3079" width="13.88671875" bestFit="1" customWidth="1"/>
    <col min="3080" max="3080" width="11.21875" bestFit="1" customWidth="1"/>
    <col min="3081" max="3081" width="6.88671875" bestFit="1" customWidth="1"/>
    <col min="3082" max="3082" width="12" bestFit="1" customWidth="1"/>
    <col min="3327" max="3327" width="24.33203125" bestFit="1" customWidth="1"/>
    <col min="3328" max="3328" width="35.77734375" bestFit="1" customWidth="1"/>
    <col min="3329" max="3329" width="19.88671875" bestFit="1" customWidth="1"/>
    <col min="3330" max="3330" width="19.109375" bestFit="1" customWidth="1"/>
    <col min="3331" max="3331" width="25.5546875" bestFit="1" customWidth="1"/>
    <col min="3332" max="3332" width="13.21875" bestFit="1" customWidth="1"/>
    <col min="3333" max="3333" width="10.77734375" bestFit="1" customWidth="1"/>
    <col min="3334" max="3334" width="13" bestFit="1" customWidth="1"/>
    <col min="3335" max="3335" width="13.88671875" bestFit="1" customWidth="1"/>
    <col min="3336" max="3336" width="11.21875" bestFit="1" customWidth="1"/>
    <col min="3337" max="3337" width="6.88671875" bestFit="1" customWidth="1"/>
    <col min="3338" max="3338" width="12" bestFit="1" customWidth="1"/>
    <col min="3583" max="3583" width="24.33203125" bestFit="1" customWidth="1"/>
    <col min="3584" max="3584" width="35.77734375" bestFit="1" customWidth="1"/>
    <col min="3585" max="3585" width="19.88671875" bestFit="1" customWidth="1"/>
    <col min="3586" max="3586" width="19.109375" bestFit="1" customWidth="1"/>
    <col min="3587" max="3587" width="25.5546875" bestFit="1" customWidth="1"/>
    <col min="3588" max="3588" width="13.21875" bestFit="1" customWidth="1"/>
    <col min="3589" max="3589" width="10.77734375" bestFit="1" customWidth="1"/>
    <col min="3590" max="3590" width="13" bestFit="1" customWidth="1"/>
    <col min="3591" max="3591" width="13.88671875" bestFit="1" customWidth="1"/>
    <col min="3592" max="3592" width="11.21875" bestFit="1" customWidth="1"/>
    <col min="3593" max="3593" width="6.88671875" bestFit="1" customWidth="1"/>
    <col min="3594" max="3594" width="12" bestFit="1" customWidth="1"/>
    <col min="3839" max="3839" width="24.33203125" bestFit="1" customWidth="1"/>
    <col min="3840" max="3840" width="35.77734375" bestFit="1" customWidth="1"/>
    <col min="3841" max="3841" width="19.88671875" bestFit="1" customWidth="1"/>
    <col min="3842" max="3842" width="19.109375" bestFit="1" customWidth="1"/>
    <col min="3843" max="3843" width="25.5546875" bestFit="1" customWidth="1"/>
    <col min="3844" max="3844" width="13.21875" bestFit="1" customWidth="1"/>
    <col min="3845" max="3845" width="10.77734375" bestFit="1" customWidth="1"/>
    <col min="3846" max="3846" width="13" bestFit="1" customWidth="1"/>
    <col min="3847" max="3847" width="13.88671875" bestFit="1" customWidth="1"/>
    <col min="3848" max="3848" width="11.21875" bestFit="1" customWidth="1"/>
    <col min="3849" max="3849" width="6.88671875" bestFit="1" customWidth="1"/>
    <col min="3850" max="3850" width="12" bestFit="1" customWidth="1"/>
    <col min="4095" max="4095" width="24.33203125" bestFit="1" customWidth="1"/>
    <col min="4096" max="4096" width="35.77734375" bestFit="1" customWidth="1"/>
    <col min="4097" max="4097" width="19.88671875" bestFit="1" customWidth="1"/>
    <col min="4098" max="4098" width="19.109375" bestFit="1" customWidth="1"/>
    <col min="4099" max="4099" width="25.5546875" bestFit="1" customWidth="1"/>
    <col min="4100" max="4100" width="13.21875" bestFit="1" customWidth="1"/>
    <col min="4101" max="4101" width="10.77734375" bestFit="1" customWidth="1"/>
    <col min="4102" max="4102" width="13" bestFit="1" customWidth="1"/>
    <col min="4103" max="4103" width="13.88671875" bestFit="1" customWidth="1"/>
    <col min="4104" max="4104" width="11.21875" bestFit="1" customWidth="1"/>
    <col min="4105" max="4105" width="6.88671875" bestFit="1" customWidth="1"/>
    <col min="4106" max="4106" width="12" bestFit="1" customWidth="1"/>
    <col min="4351" max="4351" width="24.33203125" bestFit="1" customWidth="1"/>
    <col min="4352" max="4352" width="35.77734375" bestFit="1" customWidth="1"/>
    <col min="4353" max="4353" width="19.88671875" bestFit="1" customWidth="1"/>
    <col min="4354" max="4354" width="19.109375" bestFit="1" customWidth="1"/>
    <col min="4355" max="4355" width="25.5546875" bestFit="1" customWidth="1"/>
    <col min="4356" max="4356" width="13.21875" bestFit="1" customWidth="1"/>
    <col min="4357" max="4357" width="10.77734375" bestFit="1" customWidth="1"/>
    <col min="4358" max="4358" width="13" bestFit="1" customWidth="1"/>
    <col min="4359" max="4359" width="13.88671875" bestFit="1" customWidth="1"/>
    <col min="4360" max="4360" width="11.21875" bestFit="1" customWidth="1"/>
    <col min="4361" max="4361" width="6.88671875" bestFit="1" customWidth="1"/>
    <col min="4362" max="4362" width="12" bestFit="1" customWidth="1"/>
    <col min="4607" max="4607" width="24.33203125" bestFit="1" customWidth="1"/>
    <col min="4608" max="4608" width="35.77734375" bestFit="1" customWidth="1"/>
    <col min="4609" max="4609" width="19.88671875" bestFit="1" customWidth="1"/>
    <col min="4610" max="4610" width="19.109375" bestFit="1" customWidth="1"/>
    <col min="4611" max="4611" width="25.5546875" bestFit="1" customWidth="1"/>
    <col min="4612" max="4612" width="13.21875" bestFit="1" customWidth="1"/>
    <col min="4613" max="4613" width="10.77734375" bestFit="1" customWidth="1"/>
    <col min="4614" max="4614" width="13" bestFit="1" customWidth="1"/>
    <col min="4615" max="4615" width="13.88671875" bestFit="1" customWidth="1"/>
    <col min="4616" max="4616" width="11.21875" bestFit="1" customWidth="1"/>
    <col min="4617" max="4617" width="6.88671875" bestFit="1" customWidth="1"/>
    <col min="4618" max="4618" width="12" bestFit="1" customWidth="1"/>
    <col min="4863" max="4863" width="24.33203125" bestFit="1" customWidth="1"/>
    <col min="4864" max="4864" width="35.77734375" bestFit="1" customWidth="1"/>
    <col min="4865" max="4865" width="19.88671875" bestFit="1" customWidth="1"/>
    <col min="4866" max="4866" width="19.109375" bestFit="1" customWidth="1"/>
    <col min="4867" max="4867" width="25.5546875" bestFit="1" customWidth="1"/>
    <col min="4868" max="4868" width="13.21875" bestFit="1" customWidth="1"/>
    <col min="4869" max="4869" width="10.77734375" bestFit="1" customWidth="1"/>
    <col min="4870" max="4870" width="13" bestFit="1" customWidth="1"/>
    <col min="4871" max="4871" width="13.88671875" bestFit="1" customWidth="1"/>
    <col min="4872" max="4872" width="11.21875" bestFit="1" customWidth="1"/>
    <col min="4873" max="4873" width="6.88671875" bestFit="1" customWidth="1"/>
    <col min="4874" max="4874" width="12" bestFit="1" customWidth="1"/>
    <col min="5119" max="5119" width="24.33203125" bestFit="1" customWidth="1"/>
    <col min="5120" max="5120" width="35.77734375" bestFit="1" customWidth="1"/>
    <col min="5121" max="5121" width="19.88671875" bestFit="1" customWidth="1"/>
    <col min="5122" max="5122" width="19.109375" bestFit="1" customWidth="1"/>
    <col min="5123" max="5123" width="25.5546875" bestFit="1" customWidth="1"/>
    <col min="5124" max="5124" width="13.21875" bestFit="1" customWidth="1"/>
    <col min="5125" max="5125" width="10.77734375" bestFit="1" customWidth="1"/>
    <col min="5126" max="5126" width="13" bestFit="1" customWidth="1"/>
    <col min="5127" max="5127" width="13.88671875" bestFit="1" customWidth="1"/>
    <col min="5128" max="5128" width="11.21875" bestFit="1" customWidth="1"/>
    <col min="5129" max="5129" width="6.88671875" bestFit="1" customWidth="1"/>
    <col min="5130" max="5130" width="12" bestFit="1" customWidth="1"/>
    <col min="5375" max="5375" width="24.33203125" bestFit="1" customWidth="1"/>
    <col min="5376" max="5376" width="35.77734375" bestFit="1" customWidth="1"/>
    <col min="5377" max="5377" width="19.88671875" bestFit="1" customWidth="1"/>
    <col min="5378" max="5378" width="19.109375" bestFit="1" customWidth="1"/>
    <col min="5379" max="5379" width="25.5546875" bestFit="1" customWidth="1"/>
    <col min="5380" max="5380" width="13.21875" bestFit="1" customWidth="1"/>
    <col min="5381" max="5381" width="10.77734375" bestFit="1" customWidth="1"/>
    <col min="5382" max="5382" width="13" bestFit="1" customWidth="1"/>
    <col min="5383" max="5383" width="13.88671875" bestFit="1" customWidth="1"/>
    <col min="5384" max="5384" width="11.21875" bestFit="1" customWidth="1"/>
    <col min="5385" max="5385" width="6.88671875" bestFit="1" customWidth="1"/>
    <col min="5386" max="5386" width="12" bestFit="1" customWidth="1"/>
    <col min="5631" max="5631" width="24.33203125" bestFit="1" customWidth="1"/>
    <col min="5632" max="5632" width="35.77734375" bestFit="1" customWidth="1"/>
    <col min="5633" max="5633" width="19.88671875" bestFit="1" customWidth="1"/>
    <col min="5634" max="5634" width="19.109375" bestFit="1" customWidth="1"/>
    <col min="5635" max="5635" width="25.5546875" bestFit="1" customWidth="1"/>
    <col min="5636" max="5636" width="13.21875" bestFit="1" customWidth="1"/>
    <col min="5637" max="5637" width="10.77734375" bestFit="1" customWidth="1"/>
    <col min="5638" max="5638" width="13" bestFit="1" customWidth="1"/>
    <col min="5639" max="5639" width="13.88671875" bestFit="1" customWidth="1"/>
    <col min="5640" max="5640" width="11.21875" bestFit="1" customWidth="1"/>
    <col min="5641" max="5641" width="6.88671875" bestFit="1" customWidth="1"/>
    <col min="5642" max="5642" width="12" bestFit="1" customWidth="1"/>
    <col min="5887" max="5887" width="24.33203125" bestFit="1" customWidth="1"/>
    <col min="5888" max="5888" width="35.77734375" bestFit="1" customWidth="1"/>
    <col min="5889" max="5889" width="19.88671875" bestFit="1" customWidth="1"/>
    <col min="5890" max="5890" width="19.109375" bestFit="1" customWidth="1"/>
    <col min="5891" max="5891" width="25.5546875" bestFit="1" customWidth="1"/>
    <col min="5892" max="5892" width="13.21875" bestFit="1" customWidth="1"/>
    <col min="5893" max="5893" width="10.77734375" bestFit="1" customWidth="1"/>
    <col min="5894" max="5894" width="13" bestFit="1" customWidth="1"/>
    <col min="5895" max="5895" width="13.88671875" bestFit="1" customWidth="1"/>
    <col min="5896" max="5896" width="11.21875" bestFit="1" customWidth="1"/>
    <col min="5897" max="5897" width="6.88671875" bestFit="1" customWidth="1"/>
    <col min="5898" max="5898" width="12" bestFit="1" customWidth="1"/>
    <col min="6143" max="6143" width="24.33203125" bestFit="1" customWidth="1"/>
    <col min="6144" max="6144" width="35.77734375" bestFit="1" customWidth="1"/>
    <col min="6145" max="6145" width="19.88671875" bestFit="1" customWidth="1"/>
    <col min="6146" max="6146" width="19.109375" bestFit="1" customWidth="1"/>
    <col min="6147" max="6147" width="25.5546875" bestFit="1" customWidth="1"/>
    <col min="6148" max="6148" width="13.21875" bestFit="1" customWidth="1"/>
    <col min="6149" max="6149" width="10.77734375" bestFit="1" customWidth="1"/>
    <col min="6150" max="6150" width="13" bestFit="1" customWidth="1"/>
    <col min="6151" max="6151" width="13.88671875" bestFit="1" customWidth="1"/>
    <col min="6152" max="6152" width="11.21875" bestFit="1" customWidth="1"/>
    <col min="6153" max="6153" width="6.88671875" bestFit="1" customWidth="1"/>
    <col min="6154" max="6154" width="12" bestFit="1" customWidth="1"/>
    <col min="6399" max="6399" width="24.33203125" bestFit="1" customWidth="1"/>
    <col min="6400" max="6400" width="35.77734375" bestFit="1" customWidth="1"/>
    <col min="6401" max="6401" width="19.88671875" bestFit="1" customWidth="1"/>
    <col min="6402" max="6402" width="19.109375" bestFit="1" customWidth="1"/>
    <col min="6403" max="6403" width="25.5546875" bestFit="1" customWidth="1"/>
    <col min="6404" max="6404" width="13.21875" bestFit="1" customWidth="1"/>
    <col min="6405" max="6405" width="10.77734375" bestFit="1" customWidth="1"/>
    <col min="6406" max="6406" width="13" bestFit="1" customWidth="1"/>
    <col min="6407" max="6407" width="13.88671875" bestFit="1" customWidth="1"/>
    <col min="6408" max="6408" width="11.21875" bestFit="1" customWidth="1"/>
    <col min="6409" max="6409" width="6.88671875" bestFit="1" customWidth="1"/>
    <col min="6410" max="6410" width="12" bestFit="1" customWidth="1"/>
    <col min="6655" max="6655" width="24.33203125" bestFit="1" customWidth="1"/>
    <col min="6656" max="6656" width="35.77734375" bestFit="1" customWidth="1"/>
    <col min="6657" max="6657" width="19.88671875" bestFit="1" customWidth="1"/>
    <col min="6658" max="6658" width="19.109375" bestFit="1" customWidth="1"/>
    <col min="6659" max="6659" width="25.5546875" bestFit="1" customWidth="1"/>
    <col min="6660" max="6660" width="13.21875" bestFit="1" customWidth="1"/>
    <col min="6661" max="6661" width="10.77734375" bestFit="1" customWidth="1"/>
    <col min="6662" max="6662" width="13" bestFit="1" customWidth="1"/>
    <col min="6663" max="6663" width="13.88671875" bestFit="1" customWidth="1"/>
    <col min="6664" max="6664" width="11.21875" bestFit="1" customWidth="1"/>
    <col min="6665" max="6665" width="6.88671875" bestFit="1" customWidth="1"/>
    <col min="6666" max="6666" width="12" bestFit="1" customWidth="1"/>
    <col min="6911" max="6911" width="24.33203125" bestFit="1" customWidth="1"/>
    <col min="6912" max="6912" width="35.77734375" bestFit="1" customWidth="1"/>
    <col min="6913" max="6913" width="19.88671875" bestFit="1" customWidth="1"/>
    <col min="6914" max="6914" width="19.109375" bestFit="1" customWidth="1"/>
    <col min="6915" max="6915" width="25.5546875" bestFit="1" customWidth="1"/>
    <col min="6916" max="6916" width="13.21875" bestFit="1" customWidth="1"/>
    <col min="6917" max="6917" width="10.77734375" bestFit="1" customWidth="1"/>
    <col min="6918" max="6918" width="13" bestFit="1" customWidth="1"/>
    <col min="6919" max="6919" width="13.88671875" bestFit="1" customWidth="1"/>
    <col min="6920" max="6920" width="11.21875" bestFit="1" customWidth="1"/>
    <col min="6921" max="6921" width="6.88671875" bestFit="1" customWidth="1"/>
    <col min="6922" max="6922" width="12" bestFit="1" customWidth="1"/>
    <col min="7167" max="7167" width="24.33203125" bestFit="1" customWidth="1"/>
    <col min="7168" max="7168" width="35.77734375" bestFit="1" customWidth="1"/>
    <col min="7169" max="7169" width="19.88671875" bestFit="1" customWidth="1"/>
    <col min="7170" max="7170" width="19.109375" bestFit="1" customWidth="1"/>
    <col min="7171" max="7171" width="25.5546875" bestFit="1" customWidth="1"/>
    <col min="7172" max="7172" width="13.21875" bestFit="1" customWidth="1"/>
    <col min="7173" max="7173" width="10.77734375" bestFit="1" customWidth="1"/>
    <col min="7174" max="7174" width="13" bestFit="1" customWidth="1"/>
    <col min="7175" max="7175" width="13.88671875" bestFit="1" customWidth="1"/>
    <col min="7176" max="7176" width="11.21875" bestFit="1" customWidth="1"/>
    <col min="7177" max="7177" width="6.88671875" bestFit="1" customWidth="1"/>
    <col min="7178" max="7178" width="12" bestFit="1" customWidth="1"/>
    <col min="7423" max="7423" width="24.33203125" bestFit="1" customWidth="1"/>
    <col min="7424" max="7424" width="35.77734375" bestFit="1" customWidth="1"/>
    <col min="7425" max="7425" width="19.88671875" bestFit="1" customWidth="1"/>
    <col min="7426" max="7426" width="19.109375" bestFit="1" customWidth="1"/>
    <col min="7427" max="7427" width="25.5546875" bestFit="1" customWidth="1"/>
    <col min="7428" max="7428" width="13.21875" bestFit="1" customWidth="1"/>
    <col min="7429" max="7429" width="10.77734375" bestFit="1" customWidth="1"/>
    <col min="7430" max="7430" width="13" bestFit="1" customWidth="1"/>
    <col min="7431" max="7431" width="13.88671875" bestFit="1" customWidth="1"/>
    <col min="7432" max="7432" width="11.21875" bestFit="1" customWidth="1"/>
    <col min="7433" max="7433" width="6.88671875" bestFit="1" customWidth="1"/>
    <col min="7434" max="7434" width="12" bestFit="1" customWidth="1"/>
    <col min="7679" max="7679" width="24.33203125" bestFit="1" customWidth="1"/>
    <col min="7680" max="7680" width="35.77734375" bestFit="1" customWidth="1"/>
    <col min="7681" max="7681" width="19.88671875" bestFit="1" customWidth="1"/>
    <col min="7682" max="7682" width="19.109375" bestFit="1" customWidth="1"/>
    <col min="7683" max="7683" width="25.5546875" bestFit="1" customWidth="1"/>
    <col min="7684" max="7684" width="13.21875" bestFit="1" customWidth="1"/>
    <col min="7685" max="7685" width="10.77734375" bestFit="1" customWidth="1"/>
    <col min="7686" max="7686" width="13" bestFit="1" customWidth="1"/>
    <col min="7687" max="7687" width="13.88671875" bestFit="1" customWidth="1"/>
    <col min="7688" max="7688" width="11.21875" bestFit="1" customWidth="1"/>
    <col min="7689" max="7689" width="6.88671875" bestFit="1" customWidth="1"/>
    <col min="7690" max="7690" width="12" bestFit="1" customWidth="1"/>
    <col min="7935" max="7935" width="24.33203125" bestFit="1" customWidth="1"/>
    <col min="7936" max="7936" width="35.77734375" bestFit="1" customWidth="1"/>
    <col min="7937" max="7937" width="19.88671875" bestFit="1" customWidth="1"/>
    <col min="7938" max="7938" width="19.109375" bestFit="1" customWidth="1"/>
    <col min="7939" max="7939" width="25.5546875" bestFit="1" customWidth="1"/>
    <col min="7940" max="7940" width="13.21875" bestFit="1" customWidth="1"/>
    <col min="7941" max="7941" width="10.77734375" bestFit="1" customWidth="1"/>
    <col min="7942" max="7942" width="13" bestFit="1" customWidth="1"/>
    <col min="7943" max="7943" width="13.88671875" bestFit="1" customWidth="1"/>
    <col min="7944" max="7944" width="11.21875" bestFit="1" customWidth="1"/>
    <col min="7945" max="7945" width="6.88671875" bestFit="1" customWidth="1"/>
    <col min="7946" max="7946" width="12" bestFit="1" customWidth="1"/>
    <col min="8191" max="8191" width="24.33203125" bestFit="1" customWidth="1"/>
    <col min="8192" max="8192" width="35.77734375" bestFit="1" customWidth="1"/>
    <col min="8193" max="8193" width="19.88671875" bestFit="1" customWidth="1"/>
    <col min="8194" max="8194" width="19.109375" bestFit="1" customWidth="1"/>
    <col min="8195" max="8195" width="25.5546875" bestFit="1" customWidth="1"/>
    <col min="8196" max="8196" width="13.21875" bestFit="1" customWidth="1"/>
    <col min="8197" max="8197" width="10.77734375" bestFit="1" customWidth="1"/>
    <col min="8198" max="8198" width="13" bestFit="1" customWidth="1"/>
    <col min="8199" max="8199" width="13.88671875" bestFit="1" customWidth="1"/>
    <col min="8200" max="8200" width="11.21875" bestFit="1" customWidth="1"/>
    <col min="8201" max="8201" width="6.88671875" bestFit="1" customWidth="1"/>
    <col min="8202" max="8202" width="12" bestFit="1" customWidth="1"/>
    <col min="8447" max="8447" width="24.33203125" bestFit="1" customWidth="1"/>
    <col min="8448" max="8448" width="35.77734375" bestFit="1" customWidth="1"/>
    <col min="8449" max="8449" width="19.88671875" bestFit="1" customWidth="1"/>
    <col min="8450" max="8450" width="19.109375" bestFit="1" customWidth="1"/>
    <col min="8451" max="8451" width="25.5546875" bestFit="1" customWidth="1"/>
    <col min="8452" max="8452" width="13.21875" bestFit="1" customWidth="1"/>
    <col min="8453" max="8453" width="10.77734375" bestFit="1" customWidth="1"/>
    <col min="8454" max="8454" width="13" bestFit="1" customWidth="1"/>
    <col min="8455" max="8455" width="13.88671875" bestFit="1" customWidth="1"/>
    <col min="8456" max="8456" width="11.21875" bestFit="1" customWidth="1"/>
    <col min="8457" max="8457" width="6.88671875" bestFit="1" customWidth="1"/>
    <col min="8458" max="8458" width="12" bestFit="1" customWidth="1"/>
    <col min="8703" max="8703" width="24.33203125" bestFit="1" customWidth="1"/>
    <col min="8704" max="8704" width="35.77734375" bestFit="1" customWidth="1"/>
    <col min="8705" max="8705" width="19.88671875" bestFit="1" customWidth="1"/>
    <col min="8706" max="8706" width="19.109375" bestFit="1" customWidth="1"/>
    <col min="8707" max="8707" width="25.5546875" bestFit="1" customWidth="1"/>
    <col min="8708" max="8708" width="13.21875" bestFit="1" customWidth="1"/>
    <col min="8709" max="8709" width="10.77734375" bestFit="1" customWidth="1"/>
    <col min="8710" max="8710" width="13" bestFit="1" customWidth="1"/>
    <col min="8711" max="8711" width="13.88671875" bestFit="1" customWidth="1"/>
    <col min="8712" max="8712" width="11.21875" bestFit="1" customWidth="1"/>
    <col min="8713" max="8713" width="6.88671875" bestFit="1" customWidth="1"/>
    <col min="8714" max="8714" width="12" bestFit="1" customWidth="1"/>
    <col min="8959" max="8959" width="24.33203125" bestFit="1" customWidth="1"/>
    <col min="8960" max="8960" width="35.77734375" bestFit="1" customWidth="1"/>
    <col min="8961" max="8961" width="19.88671875" bestFit="1" customWidth="1"/>
    <col min="8962" max="8962" width="19.109375" bestFit="1" customWidth="1"/>
    <col min="8963" max="8963" width="25.5546875" bestFit="1" customWidth="1"/>
    <col min="8964" max="8964" width="13.21875" bestFit="1" customWidth="1"/>
    <col min="8965" max="8965" width="10.77734375" bestFit="1" customWidth="1"/>
    <col min="8966" max="8966" width="13" bestFit="1" customWidth="1"/>
    <col min="8967" max="8967" width="13.88671875" bestFit="1" customWidth="1"/>
    <col min="8968" max="8968" width="11.21875" bestFit="1" customWidth="1"/>
    <col min="8969" max="8969" width="6.88671875" bestFit="1" customWidth="1"/>
    <col min="8970" max="8970" width="12" bestFit="1" customWidth="1"/>
    <col min="9215" max="9215" width="24.33203125" bestFit="1" customWidth="1"/>
    <col min="9216" max="9216" width="35.77734375" bestFit="1" customWidth="1"/>
    <col min="9217" max="9217" width="19.88671875" bestFit="1" customWidth="1"/>
    <col min="9218" max="9218" width="19.109375" bestFit="1" customWidth="1"/>
    <col min="9219" max="9219" width="25.5546875" bestFit="1" customWidth="1"/>
    <col min="9220" max="9220" width="13.21875" bestFit="1" customWidth="1"/>
    <col min="9221" max="9221" width="10.77734375" bestFit="1" customWidth="1"/>
    <col min="9222" max="9222" width="13" bestFit="1" customWidth="1"/>
    <col min="9223" max="9223" width="13.88671875" bestFit="1" customWidth="1"/>
    <col min="9224" max="9224" width="11.21875" bestFit="1" customWidth="1"/>
    <col min="9225" max="9225" width="6.88671875" bestFit="1" customWidth="1"/>
    <col min="9226" max="9226" width="12" bestFit="1" customWidth="1"/>
    <col min="9471" max="9471" width="24.33203125" bestFit="1" customWidth="1"/>
    <col min="9472" max="9472" width="35.77734375" bestFit="1" customWidth="1"/>
    <col min="9473" max="9473" width="19.88671875" bestFit="1" customWidth="1"/>
    <col min="9474" max="9474" width="19.109375" bestFit="1" customWidth="1"/>
    <col min="9475" max="9475" width="25.5546875" bestFit="1" customWidth="1"/>
    <col min="9476" max="9476" width="13.21875" bestFit="1" customWidth="1"/>
    <col min="9477" max="9477" width="10.77734375" bestFit="1" customWidth="1"/>
    <col min="9478" max="9478" width="13" bestFit="1" customWidth="1"/>
    <col min="9479" max="9479" width="13.88671875" bestFit="1" customWidth="1"/>
    <col min="9480" max="9480" width="11.21875" bestFit="1" customWidth="1"/>
    <col min="9481" max="9481" width="6.88671875" bestFit="1" customWidth="1"/>
    <col min="9482" max="9482" width="12" bestFit="1" customWidth="1"/>
    <col min="9727" max="9727" width="24.33203125" bestFit="1" customWidth="1"/>
    <col min="9728" max="9728" width="35.77734375" bestFit="1" customWidth="1"/>
    <col min="9729" max="9729" width="19.88671875" bestFit="1" customWidth="1"/>
    <col min="9730" max="9730" width="19.109375" bestFit="1" customWidth="1"/>
    <col min="9731" max="9731" width="25.5546875" bestFit="1" customWidth="1"/>
    <col min="9732" max="9732" width="13.21875" bestFit="1" customWidth="1"/>
    <col min="9733" max="9733" width="10.77734375" bestFit="1" customWidth="1"/>
    <col min="9734" max="9734" width="13" bestFit="1" customWidth="1"/>
    <col min="9735" max="9735" width="13.88671875" bestFit="1" customWidth="1"/>
    <col min="9736" max="9736" width="11.21875" bestFit="1" customWidth="1"/>
    <col min="9737" max="9737" width="6.88671875" bestFit="1" customWidth="1"/>
    <col min="9738" max="9738" width="12" bestFit="1" customWidth="1"/>
    <col min="9983" max="9983" width="24.33203125" bestFit="1" customWidth="1"/>
    <col min="9984" max="9984" width="35.77734375" bestFit="1" customWidth="1"/>
    <col min="9985" max="9985" width="19.88671875" bestFit="1" customWidth="1"/>
    <col min="9986" max="9986" width="19.109375" bestFit="1" customWidth="1"/>
    <col min="9987" max="9987" width="25.5546875" bestFit="1" customWidth="1"/>
    <col min="9988" max="9988" width="13.21875" bestFit="1" customWidth="1"/>
    <col min="9989" max="9989" width="10.77734375" bestFit="1" customWidth="1"/>
    <col min="9990" max="9990" width="13" bestFit="1" customWidth="1"/>
    <col min="9991" max="9991" width="13.88671875" bestFit="1" customWidth="1"/>
    <col min="9992" max="9992" width="11.21875" bestFit="1" customWidth="1"/>
    <col min="9993" max="9993" width="6.88671875" bestFit="1" customWidth="1"/>
    <col min="9994" max="9994" width="12" bestFit="1" customWidth="1"/>
    <col min="10239" max="10239" width="24.33203125" bestFit="1" customWidth="1"/>
    <col min="10240" max="10240" width="35.77734375" bestFit="1" customWidth="1"/>
    <col min="10241" max="10241" width="19.88671875" bestFit="1" customWidth="1"/>
    <col min="10242" max="10242" width="19.109375" bestFit="1" customWidth="1"/>
    <col min="10243" max="10243" width="25.5546875" bestFit="1" customWidth="1"/>
    <col min="10244" max="10244" width="13.21875" bestFit="1" customWidth="1"/>
    <col min="10245" max="10245" width="10.77734375" bestFit="1" customWidth="1"/>
    <col min="10246" max="10246" width="13" bestFit="1" customWidth="1"/>
    <col min="10247" max="10247" width="13.88671875" bestFit="1" customWidth="1"/>
    <col min="10248" max="10248" width="11.21875" bestFit="1" customWidth="1"/>
    <col min="10249" max="10249" width="6.88671875" bestFit="1" customWidth="1"/>
    <col min="10250" max="10250" width="12" bestFit="1" customWidth="1"/>
    <col min="10495" max="10495" width="24.33203125" bestFit="1" customWidth="1"/>
    <col min="10496" max="10496" width="35.77734375" bestFit="1" customWidth="1"/>
    <col min="10497" max="10497" width="19.88671875" bestFit="1" customWidth="1"/>
    <col min="10498" max="10498" width="19.109375" bestFit="1" customWidth="1"/>
    <col min="10499" max="10499" width="25.5546875" bestFit="1" customWidth="1"/>
    <col min="10500" max="10500" width="13.21875" bestFit="1" customWidth="1"/>
    <col min="10501" max="10501" width="10.77734375" bestFit="1" customWidth="1"/>
    <col min="10502" max="10502" width="13" bestFit="1" customWidth="1"/>
    <col min="10503" max="10503" width="13.88671875" bestFit="1" customWidth="1"/>
    <col min="10504" max="10504" width="11.21875" bestFit="1" customWidth="1"/>
    <col min="10505" max="10505" width="6.88671875" bestFit="1" customWidth="1"/>
    <col min="10506" max="10506" width="12" bestFit="1" customWidth="1"/>
    <col min="10751" max="10751" width="24.33203125" bestFit="1" customWidth="1"/>
    <col min="10752" max="10752" width="35.77734375" bestFit="1" customWidth="1"/>
    <col min="10753" max="10753" width="19.88671875" bestFit="1" customWidth="1"/>
    <col min="10754" max="10754" width="19.109375" bestFit="1" customWidth="1"/>
    <col min="10755" max="10755" width="25.5546875" bestFit="1" customWidth="1"/>
    <col min="10756" max="10756" width="13.21875" bestFit="1" customWidth="1"/>
    <col min="10757" max="10757" width="10.77734375" bestFit="1" customWidth="1"/>
    <col min="10758" max="10758" width="13" bestFit="1" customWidth="1"/>
    <col min="10759" max="10759" width="13.88671875" bestFit="1" customWidth="1"/>
    <col min="10760" max="10760" width="11.21875" bestFit="1" customWidth="1"/>
    <col min="10761" max="10761" width="6.88671875" bestFit="1" customWidth="1"/>
    <col min="10762" max="10762" width="12" bestFit="1" customWidth="1"/>
    <col min="11007" max="11007" width="24.33203125" bestFit="1" customWidth="1"/>
    <col min="11008" max="11008" width="35.77734375" bestFit="1" customWidth="1"/>
    <col min="11009" max="11009" width="19.88671875" bestFit="1" customWidth="1"/>
    <col min="11010" max="11010" width="19.109375" bestFit="1" customWidth="1"/>
    <col min="11011" max="11011" width="25.5546875" bestFit="1" customWidth="1"/>
    <col min="11012" max="11012" width="13.21875" bestFit="1" customWidth="1"/>
    <col min="11013" max="11013" width="10.77734375" bestFit="1" customWidth="1"/>
    <col min="11014" max="11014" width="13" bestFit="1" customWidth="1"/>
    <col min="11015" max="11015" width="13.88671875" bestFit="1" customWidth="1"/>
    <col min="11016" max="11016" width="11.21875" bestFit="1" customWidth="1"/>
    <col min="11017" max="11017" width="6.88671875" bestFit="1" customWidth="1"/>
    <col min="11018" max="11018" width="12" bestFit="1" customWidth="1"/>
    <col min="11263" max="11263" width="24.33203125" bestFit="1" customWidth="1"/>
    <col min="11264" max="11264" width="35.77734375" bestFit="1" customWidth="1"/>
    <col min="11265" max="11265" width="19.88671875" bestFit="1" customWidth="1"/>
    <col min="11266" max="11266" width="19.109375" bestFit="1" customWidth="1"/>
    <col min="11267" max="11267" width="25.5546875" bestFit="1" customWidth="1"/>
    <col min="11268" max="11268" width="13.21875" bestFit="1" customWidth="1"/>
    <col min="11269" max="11269" width="10.77734375" bestFit="1" customWidth="1"/>
    <col min="11270" max="11270" width="13" bestFit="1" customWidth="1"/>
    <col min="11271" max="11271" width="13.88671875" bestFit="1" customWidth="1"/>
    <col min="11272" max="11272" width="11.21875" bestFit="1" customWidth="1"/>
    <col min="11273" max="11273" width="6.88671875" bestFit="1" customWidth="1"/>
    <col min="11274" max="11274" width="12" bestFit="1" customWidth="1"/>
    <col min="11519" max="11519" width="24.33203125" bestFit="1" customWidth="1"/>
    <col min="11520" max="11520" width="35.77734375" bestFit="1" customWidth="1"/>
    <col min="11521" max="11521" width="19.88671875" bestFit="1" customWidth="1"/>
    <col min="11522" max="11522" width="19.109375" bestFit="1" customWidth="1"/>
    <col min="11523" max="11523" width="25.5546875" bestFit="1" customWidth="1"/>
    <col min="11524" max="11524" width="13.21875" bestFit="1" customWidth="1"/>
    <col min="11525" max="11525" width="10.77734375" bestFit="1" customWidth="1"/>
    <col min="11526" max="11526" width="13" bestFit="1" customWidth="1"/>
    <col min="11527" max="11527" width="13.88671875" bestFit="1" customWidth="1"/>
    <col min="11528" max="11528" width="11.21875" bestFit="1" customWidth="1"/>
    <col min="11529" max="11529" width="6.88671875" bestFit="1" customWidth="1"/>
    <col min="11530" max="11530" width="12" bestFit="1" customWidth="1"/>
    <col min="11775" max="11775" width="24.33203125" bestFit="1" customWidth="1"/>
    <col min="11776" max="11776" width="35.77734375" bestFit="1" customWidth="1"/>
    <col min="11777" max="11777" width="19.88671875" bestFit="1" customWidth="1"/>
    <col min="11778" max="11778" width="19.109375" bestFit="1" customWidth="1"/>
    <col min="11779" max="11779" width="25.5546875" bestFit="1" customWidth="1"/>
    <col min="11780" max="11780" width="13.21875" bestFit="1" customWidth="1"/>
    <col min="11781" max="11781" width="10.77734375" bestFit="1" customWidth="1"/>
    <col min="11782" max="11782" width="13" bestFit="1" customWidth="1"/>
    <col min="11783" max="11783" width="13.88671875" bestFit="1" customWidth="1"/>
    <col min="11784" max="11784" width="11.21875" bestFit="1" customWidth="1"/>
    <col min="11785" max="11785" width="6.88671875" bestFit="1" customWidth="1"/>
    <col min="11786" max="11786" width="12" bestFit="1" customWidth="1"/>
    <col min="12031" max="12031" width="24.33203125" bestFit="1" customWidth="1"/>
    <col min="12032" max="12032" width="35.77734375" bestFit="1" customWidth="1"/>
    <col min="12033" max="12033" width="19.88671875" bestFit="1" customWidth="1"/>
    <col min="12034" max="12034" width="19.109375" bestFit="1" customWidth="1"/>
    <col min="12035" max="12035" width="25.5546875" bestFit="1" customWidth="1"/>
    <col min="12036" max="12036" width="13.21875" bestFit="1" customWidth="1"/>
    <col min="12037" max="12037" width="10.77734375" bestFit="1" customWidth="1"/>
    <col min="12038" max="12038" width="13" bestFit="1" customWidth="1"/>
    <col min="12039" max="12039" width="13.88671875" bestFit="1" customWidth="1"/>
    <col min="12040" max="12040" width="11.21875" bestFit="1" customWidth="1"/>
    <col min="12041" max="12041" width="6.88671875" bestFit="1" customWidth="1"/>
    <col min="12042" max="12042" width="12" bestFit="1" customWidth="1"/>
    <col min="12287" max="12287" width="24.33203125" bestFit="1" customWidth="1"/>
    <col min="12288" max="12288" width="35.77734375" bestFit="1" customWidth="1"/>
    <col min="12289" max="12289" width="19.88671875" bestFit="1" customWidth="1"/>
    <col min="12290" max="12290" width="19.109375" bestFit="1" customWidth="1"/>
    <col min="12291" max="12291" width="25.5546875" bestFit="1" customWidth="1"/>
    <col min="12292" max="12292" width="13.21875" bestFit="1" customWidth="1"/>
    <col min="12293" max="12293" width="10.77734375" bestFit="1" customWidth="1"/>
    <col min="12294" max="12294" width="13" bestFit="1" customWidth="1"/>
    <col min="12295" max="12295" width="13.88671875" bestFit="1" customWidth="1"/>
    <col min="12296" max="12296" width="11.21875" bestFit="1" customWidth="1"/>
    <col min="12297" max="12297" width="6.88671875" bestFit="1" customWidth="1"/>
    <col min="12298" max="12298" width="12" bestFit="1" customWidth="1"/>
    <col min="12543" max="12543" width="24.33203125" bestFit="1" customWidth="1"/>
    <col min="12544" max="12544" width="35.77734375" bestFit="1" customWidth="1"/>
    <col min="12545" max="12545" width="19.88671875" bestFit="1" customWidth="1"/>
    <col min="12546" max="12546" width="19.109375" bestFit="1" customWidth="1"/>
    <col min="12547" max="12547" width="25.5546875" bestFit="1" customWidth="1"/>
    <col min="12548" max="12548" width="13.21875" bestFit="1" customWidth="1"/>
    <col min="12549" max="12549" width="10.77734375" bestFit="1" customWidth="1"/>
    <col min="12550" max="12550" width="13" bestFit="1" customWidth="1"/>
    <col min="12551" max="12551" width="13.88671875" bestFit="1" customWidth="1"/>
    <col min="12552" max="12552" width="11.21875" bestFit="1" customWidth="1"/>
    <col min="12553" max="12553" width="6.88671875" bestFit="1" customWidth="1"/>
    <col min="12554" max="12554" width="12" bestFit="1" customWidth="1"/>
    <col min="12799" max="12799" width="24.33203125" bestFit="1" customWidth="1"/>
    <col min="12800" max="12800" width="35.77734375" bestFit="1" customWidth="1"/>
    <col min="12801" max="12801" width="19.88671875" bestFit="1" customWidth="1"/>
    <col min="12802" max="12802" width="19.109375" bestFit="1" customWidth="1"/>
    <col min="12803" max="12803" width="25.5546875" bestFit="1" customWidth="1"/>
    <col min="12804" max="12804" width="13.21875" bestFit="1" customWidth="1"/>
    <col min="12805" max="12805" width="10.77734375" bestFit="1" customWidth="1"/>
    <col min="12806" max="12806" width="13" bestFit="1" customWidth="1"/>
    <col min="12807" max="12807" width="13.88671875" bestFit="1" customWidth="1"/>
    <col min="12808" max="12808" width="11.21875" bestFit="1" customWidth="1"/>
    <col min="12809" max="12809" width="6.88671875" bestFit="1" customWidth="1"/>
    <col min="12810" max="12810" width="12" bestFit="1" customWidth="1"/>
    <col min="13055" max="13055" width="24.33203125" bestFit="1" customWidth="1"/>
    <col min="13056" max="13056" width="35.77734375" bestFit="1" customWidth="1"/>
    <col min="13057" max="13057" width="19.88671875" bestFit="1" customWidth="1"/>
    <col min="13058" max="13058" width="19.109375" bestFit="1" customWidth="1"/>
    <col min="13059" max="13059" width="25.5546875" bestFit="1" customWidth="1"/>
    <col min="13060" max="13060" width="13.21875" bestFit="1" customWidth="1"/>
    <col min="13061" max="13061" width="10.77734375" bestFit="1" customWidth="1"/>
    <col min="13062" max="13062" width="13" bestFit="1" customWidth="1"/>
    <col min="13063" max="13063" width="13.88671875" bestFit="1" customWidth="1"/>
    <col min="13064" max="13064" width="11.21875" bestFit="1" customWidth="1"/>
    <col min="13065" max="13065" width="6.88671875" bestFit="1" customWidth="1"/>
    <col min="13066" max="13066" width="12" bestFit="1" customWidth="1"/>
    <col min="13311" max="13311" width="24.33203125" bestFit="1" customWidth="1"/>
    <col min="13312" max="13312" width="35.77734375" bestFit="1" customWidth="1"/>
    <col min="13313" max="13313" width="19.88671875" bestFit="1" customWidth="1"/>
    <col min="13314" max="13314" width="19.109375" bestFit="1" customWidth="1"/>
    <col min="13315" max="13315" width="25.5546875" bestFit="1" customWidth="1"/>
    <col min="13316" max="13316" width="13.21875" bestFit="1" customWidth="1"/>
    <col min="13317" max="13317" width="10.77734375" bestFit="1" customWidth="1"/>
    <col min="13318" max="13318" width="13" bestFit="1" customWidth="1"/>
    <col min="13319" max="13319" width="13.88671875" bestFit="1" customWidth="1"/>
    <col min="13320" max="13320" width="11.21875" bestFit="1" customWidth="1"/>
    <col min="13321" max="13321" width="6.88671875" bestFit="1" customWidth="1"/>
    <col min="13322" max="13322" width="12" bestFit="1" customWidth="1"/>
    <col min="13567" max="13567" width="24.33203125" bestFit="1" customWidth="1"/>
    <col min="13568" max="13568" width="35.77734375" bestFit="1" customWidth="1"/>
    <col min="13569" max="13569" width="19.88671875" bestFit="1" customWidth="1"/>
    <col min="13570" max="13570" width="19.109375" bestFit="1" customWidth="1"/>
    <col min="13571" max="13571" width="25.5546875" bestFit="1" customWidth="1"/>
    <col min="13572" max="13572" width="13.21875" bestFit="1" customWidth="1"/>
    <col min="13573" max="13573" width="10.77734375" bestFit="1" customWidth="1"/>
    <col min="13574" max="13574" width="13" bestFit="1" customWidth="1"/>
    <col min="13575" max="13575" width="13.88671875" bestFit="1" customWidth="1"/>
    <col min="13576" max="13576" width="11.21875" bestFit="1" customWidth="1"/>
    <col min="13577" max="13577" width="6.88671875" bestFit="1" customWidth="1"/>
    <col min="13578" max="13578" width="12" bestFit="1" customWidth="1"/>
    <col min="13823" max="13823" width="24.33203125" bestFit="1" customWidth="1"/>
    <col min="13824" max="13824" width="35.77734375" bestFit="1" customWidth="1"/>
    <col min="13825" max="13825" width="19.88671875" bestFit="1" customWidth="1"/>
    <col min="13826" max="13826" width="19.109375" bestFit="1" customWidth="1"/>
    <col min="13827" max="13827" width="25.5546875" bestFit="1" customWidth="1"/>
    <col min="13828" max="13828" width="13.21875" bestFit="1" customWidth="1"/>
    <col min="13829" max="13829" width="10.77734375" bestFit="1" customWidth="1"/>
    <col min="13830" max="13830" width="13" bestFit="1" customWidth="1"/>
    <col min="13831" max="13831" width="13.88671875" bestFit="1" customWidth="1"/>
    <col min="13832" max="13832" width="11.21875" bestFit="1" customWidth="1"/>
    <col min="13833" max="13833" width="6.88671875" bestFit="1" customWidth="1"/>
    <col min="13834" max="13834" width="12" bestFit="1" customWidth="1"/>
    <col min="14079" max="14079" width="24.33203125" bestFit="1" customWidth="1"/>
    <col min="14080" max="14080" width="35.77734375" bestFit="1" customWidth="1"/>
    <col min="14081" max="14081" width="19.88671875" bestFit="1" customWidth="1"/>
    <col min="14082" max="14082" width="19.109375" bestFit="1" customWidth="1"/>
    <col min="14083" max="14083" width="25.5546875" bestFit="1" customWidth="1"/>
    <col min="14084" max="14084" width="13.21875" bestFit="1" customWidth="1"/>
    <col min="14085" max="14085" width="10.77734375" bestFit="1" customWidth="1"/>
    <col min="14086" max="14086" width="13" bestFit="1" customWidth="1"/>
    <col min="14087" max="14087" width="13.88671875" bestFit="1" customWidth="1"/>
    <col min="14088" max="14088" width="11.21875" bestFit="1" customWidth="1"/>
    <col min="14089" max="14089" width="6.88671875" bestFit="1" customWidth="1"/>
    <col min="14090" max="14090" width="12" bestFit="1" customWidth="1"/>
    <col min="14335" max="14335" width="24.33203125" bestFit="1" customWidth="1"/>
    <col min="14336" max="14336" width="35.77734375" bestFit="1" customWidth="1"/>
    <col min="14337" max="14337" width="19.88671875" bestFit="1" customWidth="1"/>
    <col min="14338" max="14338" width="19.109375" bestFit="1" customWidth="1"/>
    <col min="14339" max="14339" width="25.5546875" bestFit="1" customWidth="1"/>
    <col min="14340" max="14340" width="13.21875" bestFit="1" customWidth="1"/>
    <col min="14341" max="14341" width="10.77734375" bestFit="1" customWidth="1"/>
    <col min="14342" max="14342" width="13" bestFit="1" customWidth="1"/>
    <col min="14343" max="14343" width="13.88671875" bestFit="1" customWidth="1"/>
    <col min="14344" max="14344" width="11.21875" bestFit="1" customWidth="1"/>
    <col min="14345" max="14345" width="6.88671875" bestFit="1" customWidth="1"/>
    <col min="14346" max="14346" width="12" bestFit="1" customWidth="1"/>
    <col min="14591" max="14591" width="24.33203125" bestFit="1" customWidth="1"/>
    <col min="14592" max="14592" width="35.77734375" bestFit="1" customWidth="1"/>
    <col min="14593" max="14593" width="19.88671875" bestFit="1" customWidth="1"/>
    <col min="14594" max="14594" width="19.109375" bestFit="1" customWidth="1"/>
    <col min="14595" max="14595" width="25.5546875" bestFit="1" customWidth="1"/>
    <col min="14596" max="14596" width="13.21875" bestFit="1" customWidth="1"/>
    <col min="14597" max="14597" width="10.77734375" bestFit="1" customWidth="1"/>
    <col min="14598" max="14598" width="13" bestFit="1" customWidth="1"/>
    <col min="14599" max="14599" width="13.88671875" bestFit="1" customWidth="1"/>
    <col min="14600" max="14600" width="11.21875" bestFit="1" customWidth="1"/>
    <col min="14601" max="14601" width="6.88671875" bestFit="1" customWidth="1"/>
    <col min="14602" max="14602" width="12" bestFit="1" customWidth="1"/>
    <col min="14847" max="14847" width="24.33203125" bestFit="1" customWidth="1"/>
    <col min="14848" max="14848" width="35.77734375" bestFit="1" customWidth="1"/>
    <col min="14849" max="14849" width="19.88671875" bestFit="1" customWidth="1"/>
    <col min="14850" max="14850" width="19.109375" bestFit="1" customWidth="1"/>
    <col min="14851" max="14851" width="25.5546875" bestFit="1" customWidth="1"/>
    <col min="14852" max="14852" width="13.21875" bestFit="1" customWidth="1"/>
    <col min="14853" max="14853" width="10.77734375" bestFit="1" customWidth="1"/>
    <col min="14854" max="14854" width="13" bestFit="1" customWidth="1"/>
    <col min="14855" max="14855" width="13.88671875" bestFit="1" customWidth="1"/>
    <col min="14856" max="14856" width="11.21875" bestFit="1" customWidth="1"/>
    <col min="14857" max="14857" width="6.88671875" bestFit="1" customWidth="1"/>
    <col min="14858" max="14858" width="12" bestFit="1" customWidth="1"/>
    <col min="15103" max="15103" width="24.33203125" bestFit="1" customWidth="1"/>
    <col min="15104" max="15104" width="35.77734375" bestFit="1" customWidth="1"/>
    <col min="15105" max="15105" width="19.88671875" bestFit="1" customWidth="1"/>
    <col min="15106" max="15106" width="19.109375" bestFit="1" customWidth="1"/>
    <col min="15107" max="15107" width="25.5546875" bestFit="1" customWidth="1"/>
    <col min="15108" max="15108" width="13.21875" bestFit="1" customWidth="1"/>
    <col min="15109" max="15109" width="10.77734375" bestFit="1" customWidth="1"/>
    <col min="15110" max="15110" width="13" bestFit="1" customWidth="1"/>
    <col min="15111" max="15111" width="13.88671875" bestFit="1" customWidth="1"/>
    <col min="15112" max="15112" width="11.21875" bestFit="1" customWidth="1"/>
    <col min="15113" max="15113" width="6.88671875" bestFit="1" customWidth="1"/>
    <col min="15114" max="15114" width="12" bestFit="1" customWidth="1"/>
    <col min="15359" max="15359" width="24.33203125" bestFit="1" customWidth="1"/>
    <col min="15360" max="15360" width="35.77734375" bestFit="1" customWidth="1"/>
    <col min="15361" max="15361" width="19.88671875" bestFit="1" customWidth="1"/>
    <col min="15362" max="15362" width="19.109375" bestFit="1" customWidth="1"/>
    <col min="15363" max="15363" width="25.5546875" bestFit="1" customWidth="1"/>
    <col min="15364" max="15364" width="13.21875" bestFit="1" customWidth="1"/>
    <col min="15365" max="15365" width="10.77734375" bestFit="1" customWidth="1"/>
    <col min="15366" max="15366" width="13" bestFit="1" customWidth="1"/>
    <col min="15367" max="15367" width="13.88671875" bestFit="1" customWidth="1"/>
    <col min="15368" max="15368" width="11.21875" bestFit="1" customWidth="1"/>
    <col min="15369" max="15369" width="6.88671875" bestFit="1" customWidth="1"/>
    <col min="15370" max="15370" width="12" bestFit="1" customWidth="1"/>
    <col min="15615" max="15615" width="24.33203125" bestFit="1" customWidth="1"/>
    <col min="15616" max="15616" width="35.77734375" bestFit="1" customWidth="1"/>
    <col min="15617" max="15617" width="19.88671875" bestFit="1" customWidth="1"/>
    <col min="15618" max="15618" width="19.109375" bestFit="1" customWidth="1"/>
    <col min="15619" max="15619" width="25.5546875" bestFit="1" customWidth="1"/>
    <col min="15620" max="15620" width="13.21875" bestFit="1" customWidth="1"/>
    <col min="15621" max="15621" width="10.77734375" bestFit="1" customWidth="1"/>
    <col min="15622" max="15622" width="13" bestFit="1" customWidth="1"/>
    <col min="15623" max="15623" width="13.88671875" bestFit="1" customWidth="1"/>
    <col min="15624" max="15624" width="11.21875" bestFit="1" customWidth="1"/>
    <col min="15625" max="15625" width="6.88671875" bestFit="1" customWidth="1"/>
    <col min="15626" max="15626" width="12" bestFit="1" customWidth="1"/>
    <col min="15871" max="15871" width="24.33203125" bestFit="1" customWidth="1"/>
    <col min="15872" max="15872" width="35.77734375" bestFit="1" customWidth="1"/>
    <col min="15873" max="15873" width="19.88671875" bestFit="1" customWidth="1"/>
    <col min="15874" max="15874" width="19.109375" bestFit="1" customWidth="1"/>
    <col min="15875" max="15875" width="25.5546875" bestFit="1" customWidth="1"/>
    <col min="15876" max="15876" width="13.21875" bestFit="1" customWidth="1"/>
    <col min="15877" max="15877" width="10.77734375" bestFit="1" customWidth="1"/>
    <col min="15878" max="15878" width="13" bestFit="1" customWidth="1"/>
    <col min="15879" max="15879" width="13.88671875" bestFit="1" customWidth="1"/>
    <col min="15880" max="15880" width="11.21875" bestFit="1" customWidth="1"/>
    <col min="15881" max="15881" width="6.88671875" bestFit="1" customWidth="1"/>
    <col min="15882" max="15882" width="12" bestFit="1" customWidth="1"/>
    <col min="16127" max="16127" width="24.33203125" bestFit="1" customWidth="1"/>
    <col min="16128" max="16128" width="35.77734375" bestFit="1" customWidth="1"/>
    <col min="16129" max="16129" width="19.88671875" bestFit="1" customWidth="1"/>
    <col min="16130" max="16130" width="19.109375" bestFit="1" customWidth="1"/>
    <col min="16131" max="16131" width="25.5546875" bestFit="1" customWidth="1"/>
    <col min="16132" max="16132" width="13.21875" bestFit="1" customWidth="1"/>
    <col min="16133" max="16133" width="10.77734375" bestFit="1" customWidth="1"/>
    <col min="16134" max="16134" width="13" bestFit="1" customWidth="1"/>
    <col min="16135" max="16135" width="13.88671875" bestFit="1" customWidth="1"/>
    <col min="16136" max="16136" width="11.21875" bestFit="1" customWidth="1"/>
    <col min="16137" max="16137" width="6.88671875" bestFit="1" customWidth="1"/>
    <col min="16138" max="16138" width="12" bestFit="1" customWidth="1"/>
  </cols>
  <sheetData>
    <row r="1" spans="1:14" x14ac:dyDescent="0.3">
      <c r="F1" s="3"/>
    </row>
    <row r="2" spans="1:14" ht="18" x14ac:dyDescent="0.35">
      <c r="A2" s="15" t="s">
        <v>63</v>
      </c>
      <c r="F2" s="3"/>
    </row>
    <row r="3" spans="1:14" x14ac:dyDescent="0.3">
      <c r="A3" s="16" t="s">
        <v>65</v>
      </c>
      <c r="B3" s="9" t="s">
        <v>83</v>
      </c>
      <c r="C3" s="16" t="s">
        <v>74</v>
      </c>
      <c r="D3" s="9" t="s">
        <v>56</v>
      </c>
      <c r="E3" s="16" t="s">
        <v>78</v>
      </c>
      <c r="F3" s="10">
        <v>46137</v>
      </c>
    </row>
    <row r="4" spans="1:14" x14ac:dyDescent="0.3">
      <c r="A4" s="16" t="s">
        <v>64</v>
      </c>
      <c r="B4" s="9" t="s">
        <v>57</v>
      </c>
      <c r="C4" s="16" t="s">
        <v>75</v>
      </c>
      <c r="D4" s="9" t="s">
        <v>58</v>
      </c>
      <c r="E4" s="16" t="s">
        <v>77</v>
      </c>
      <c r="F4" s="9" t="s">
        <v>62</v>
      </c>
    </row>
    <row r="5" spans="1:14" x14ac:dyDescent="0.3">
      <c r="A5" s="16" t="s">
        <v>80</v>
      </c>
      <c r="B5" s="9" t="s">
        <v>59</v>
      </c>
      <c r="C5" s="16" t="s">
        <v>76</v>
      </c>
      <c r="D5" s="9" t="s">
        <v>60</v>
      </c>
      <c r="E5" s="16" t="s">
        <v>79</v>
      </c>
      <c r="F5" s="9" t="s">
        <v>61</v>
      </c>
    </row>
    <row r="6" spans="1:14" x14ac:dyDescent="0.3">
      <c r="A6" s="8"/>
      <c r="B6" s="9"/>
      <c r="C6" s="16"/>
      <c r="D6" s="9"/>
      <c r="E6" s="9"/>
      <c r="F6" s="9"/>
    </row>
    <row r="8" spans="1:14" ht="27.6" x14ac:dyDescent="0.3">
      <c r="A8" s="19" t="s">
        <v>72</v>
      </c>
      <c r="B8" s="19" t="s">
        <v>73</v>
      </c>
      <c r="C8" s="19" t="s">
        <v>71</v>
      </c>
      <c r="D8" s="19" t="s">
        <v>70</v>
      </c>
      <c r="E8" s="17" t="s">
        <v>66</v>
      </c>
      <c r="F8" s="17" t="s">
        <v>67</v>
      </c>
      <c r="G8" s="19" t="s">
        <v>68</v>
      </c>
      <c r="H8" s="19" t="s">
        <v>69</v>
      </c>
      <c r="I8" s="19" t="s">
        <v>97</v>
      </c>
      <c r="J8" s="19" t="s">
        <v>98</v>
      </c>
      <c r="K8" s="5"/>
      <c r="L8" s="5"/>
      <c r="M8" s="5"/>
      <c r="N8" s="5"/>
    </row>
    <row r="9" spans="1:14" x14ac:dyDescent="0.3">
      <c r="A9" s="20">
        <v>3500080</v>
      </c>
      <c r="B9" s="5" t="s">
        <v>84</v>
      </c>
      <c r="C9" s="20" t="s">
        <v>85</v>
      </c>
      <c r="D9" s="20" t="s">
        <v>86</v>
      </c>
      <c r="E9" s="6">
        <f>F9+0.5</f>
        <v>18.350000000000001</v>
      </c>
      <c r="F9" s="6">
        <v>17.850000000000001</v>
      </c>
      <c r="G9" s="5">
        <v>1</v>
      </c>
      <c r="H9" s="5">
        <v>0</v>
      </c>
      <c r="I9" s="5">
        <v>0</v>
      </c>
      <c r="J9" s="5">
        <v>0</v>
      </c>
      <c r="K9" s="5"/>
      <c r="L9" s="5"/>
      <c r="M9" s="5"/>
      <c r="N9" s="5"/>
    </row>
    <row r="10" spans="1:14" x14ac:dyDescent="0.3">
      <c r="A10" s="4"/>
      <c r="B10" s="5"/>
      <c r="C10" s="5"/>
      <c r="D10" s="5"/>
      <c r="E10" s="6"/>
      <c r="F10" s="6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4"/>
      <c r="B11" s="5"/>
      <c r="C11" s="5"/>
      <c r="D11" s="5"/>
      <c r="E11" s="6"/>
      <c r="F11" s="6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4"/>
      <c r="B12" s="5"/>
      <c r="C12" s="5"/>
      <c r="D12" s="5"/>
      <c r="E12" s="6"/>
      <c r="F12" s="6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4"/>
      <c r="B13" s="5"/>
      <c r="C13" s="5"/>
      <c r="D13" s="5"/>
      <c r="E13" s="6"/>
      <c r="F13" s="6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4"/>
      <c r="B14" s="5"/>
      <c r="C14" s="5"/>
      <c r="D14" s="5"/>
      <c r="E14" s="6"/>
      <c r="F14" s="6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4"/>
      <c r="B15" s="5"/>
      <c r="C15" s="5"/>
      <c r="D15" s="5"/>
      <c r="E15" s="6"/>
      <c r="F15" s="6"/>
      <c r="G15" s="5"/>
      <c r="H15" s="5"/>
      <c r="I15" s="5"/>
      <c r="J15" s="5"/>
      <c r="K15" s="5"/>
      <c r="L15" s="5"/>
      <c r="M15" s="5"/>
      <c r="N15" s="5"/>
    </row>
    <row r="16" spans="1:14" x14ac:dyDescent="0.3">
      <c r="A16" s="4"/>
      <c r="B16" s="5"/>
      <c r="C16" s="5"/>
      <c r="D16" s="5"/>
      <c r="E16" s="6"/>
      <c r="F16" s="6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4"/>
      <c r="B17" s="5"/>
      <c r="C17" s="5"/>
      <c r="D17" s="5"/>
      <c r="E17" s="7">
        <f>F17*$E$21</f>
        <v>13803.6</v>
      </c>
      <c r="F17" s="7">
        <v>12879.02</v>
      </c>
      <c r="G17" s="11">
        <v>1</v>
      </c>
      <c r="H17" s="11">
        <v>0</v>
      </c>
      <c r="I17" s="11">
        <v>0</v>
      </c>
      <c r="J17" s="11">
        <v>0</v>
      </c>
      <c r="K17" s="5"/>
      <c r="L17" s="5"/>
      <c r="M17" s="5"/>
      <c r="N17" s="5"/>
    </row>
    <row r="18" spans="1:14" x14ac:dyDescent="0.3">
      <c r="A18" s="4"/>
      <c r="B18" s="5"/>
      <c r="C18" s="5"/>
      <c r="D18" s="5"/>
      <c r="E18" s="6"/>
      <c r="F18" s="6"/>
      <c r="G18" s="5"/>
      <c r="H18" s="5"/>
      <c r="I18" s="5"/>
      <c r="J18" s="5"/>
      <c r="K18" s="5"/>
      <c r="L18" s="5"/>
      <c r="M18" s="5"/>
      <c r="N18" s="5"/>
    </row>
    <row r="19" spans="1:14" x14ac:dyDescent="0.3">
      <c r="A19" s="12"/>
      <c r="F19" s="18"/>
      <c r="G19" s="13"/>
      <c r="H19" s="13"/>
      <c r="I19" s="18" t="s">
        <v>81</v>
      </c>
      <c r="J19" s="13">
        <v>1</v>
      </c>
    </row>
    <row r="20" spans="1:14" x14ac:dyDescent="0.3">
      <c r="A20" s="12"/>
      <c r="F20" s="18"/>
      <c r="G20" s="13"/>
      <c r="H20" s="13"/>
      <c r="I20" s="18" t="s">
        <v>82</v>
      </c>
      <c r="J20" s="11">
        <v>0</v>
      </c>
    </row>
    <row r="21" spans="1:14" x14ac:dyDescent="0.3">
      <c r="A21" s="12"/>
      <c r="E21" s="14">
        <f>13803.6/12879.02</f>
        <v>1.0717896237446638</v>
      </c>
      <c r="F21" s="18"/>
      <c r="G21" s="13"/>
      <c r="H21" s="13"/>
      <c r="I21" s="18" t="s">
        <v>99</v>
      </c>
      <c r="J21" s="11">
        <v>0</v>
      </c>
    </row>
    <row r="22" spans="1:14" x14ac:dyDescent="0.3">
      <c r="I22" s="18" t="s">
        <v>100</v>
      </c>
      <c r="J22" s="11">
        <v>0</v>
      </c>
    </row>
  </sheetData>
  <printOptions horizontalCentered="1"/>
  <pageMargins left="0.19685039370078738" right="0.19685039370078738" top="0.39370078740157477" bottom="0.39370078740157477" header="0.3" footer="0.3"/>
  <pageSetup paperSize="9" scale="62" orientation="landscape" r:id="rId1"/>
  <headerFoot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6" sqref="G1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proceso</vt:lpstr>
      <vt:lpstr>Resumen Packing List</vt:lpstr>
      <vt:lpstr>Hoja1</vt:lpstr>
      <vt:lpstr>'Resumen Packing List'!Títulos_a_imprimir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Chuquimia</dc:creator>
  <cp:lastModifiedBy>HP</cp:lastModifiedBy>
  <cp:lastPrinted>2026-05-07T14:08:20Z</cp:lastPrinted>
  <dcterms:created xsi:type="dcterms:W3CDTF">2026-04-30T17:05:28Z</dcterms:created>
  <dcterms:modified xsi:type="dcterms:W3CDTF">2026-09-04T05:25:44Z</dcterms:modified>
</cp:coreProperties>
</file>