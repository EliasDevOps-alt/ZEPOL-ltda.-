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uan.chuquimia\Desktop\proy 26-27\5. for_ent_mp\"/>
    </mc:Choice>
  </mc:AlternateContent>
  <xr:revisionPtr revIDLastSave="0" documentId="13_ncr:1_{50CEE5E6-C1B2-4C81-A0B1-C9FFAB0EB5ED}" xr6:coauthVersionLast="47" xr6:coauthVersionMax="47" xr10:uidLastSave="{00000000-0000-0000-0000-000000000000}"/>
  <bookViews>
    <workbookView xWindow="-108" yWindow="-108" windowWidth="23256" windowHeight="12576" activeTab="2" xr2:uid="{13DDC065-4256-4976-A196-C62256C0C0A4}"/>
  </bookViews>
  <sheets>
    <sheet name="IMPRE" sheetId="1" r:id="rId1"/>
    <sheet name="LAMINACION" sheetId="5" r:id="rId2"/>
    <sheet name="Hoja2" sheetId="2" r:id="rId3"/>
    <sheet name="COD MP" sheetId="4" r:id="rId4"/>
    <sheet name="OC" sheetId="3" r:id="rId5"/>
  </sheets>
  <definedNames>
    <definedName name="_xlnm._FilterDatabase" localSheetId="0" hidden="1">IMPRE!$H$1:$H$42</definedName>
    <definedName name="_xlnm._FilterDatabase" localSheetId="1" hidden="1">LAMINACION!$A$5:$AE$42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2" i="5" l="1"/>
  <c r="AD42" i="5"/>
  <c r="X42" i="5"/>
  <c r="AD41" i="5"/>
  <c r="X41" i="5"/>
  <c r="AE41" i="5" s="1"/>
  <c r="AD40" i="5"/>
  <c r="X40" i="5"/>
  <c r="AE40" i="5" s="1"/>
  <c r="AD39" i="5"/>
  <c r="AE39" i="5" s="1"/>
  <c r="X39" i="5"/>
  <c r="AD38" i="5"/>
  <c r="X38" i="5"/>
  <c r="AE38" i="5" s="1"/>
  <c r="AD37" i="5"/>
  <c r="AE37" i="5" s="1"/>
  <c r="X37" i="5"/>
  <c r="AE36" i="5"/>
  <c r="AD36" i="5"/>
  <c r="X36" i="5"/>
  <c r="AD35" i="5"/>
  <c r="X35" i="5"/>
  <c r="AE35" i="5" s="1"/>
  <c r="AD34" i="5"/>
  <c r="X34" i="5"/>
  <c r="AE34" i="5" s="1"/>
  <c r="AD33" i="5"/>
  <c r="X33" i="5"/>
  <c r="AE33" i="5" s="1"/>
  <c r="AD32" i="5"/>
  <c r="X32" i="5"/>
  <c r="AE32" i="5" s="1"/>
  <c r="AD31" i="5"/>
  <c r="X31" i="5"/>
  <c r="AE31" i="5" s="1"/>
  <c r="AD30" i="5"/>
  <c r="X30" i="5"/>
  <c r="AE30" i="5" s="1"/>
  <c r="AD29" i="5"/>
  <c r="AE29" i="5" s="1"/>
  <c r="X29" i="5"/>
  <c r="AE28" i="5"/>
  <c r="AD28" i="5"/>
  <c r="X28" i="5"/>
  <c r="AD27" i="5"/>
  <c r="X27" i="5"/>
  <c r="AE27" i="5" s="1"/>
  <c r="AD26" i="5"/>
  <c r="X26" i="5"/>
  <c r="AE26" i="5" s="1"/>
  <c r="AD25" i="5"/>
  <c r="X25" i="5"/>
  <c r="AE25" i="5" s="1"/>
  <c r="AD24" i="5"/>
  <c r="X24" i="5"/>
  <c r="AE24" i="5" s="1"/>
  <c r="AD23" i="5"/>
  <c r="X23" i="5"/>
  <c r="AE23" i="5" s="1"/>
  <c r="AD22" i="5"/>
  <c r="X22" i="5"/>
  <c r="AE22" i="5" s="1"/>
  <c r="AD21" i="5"/>
  <c r="AE21" i="5" s="1"/>
  <c r="X21" i="5"/>
  <c r="AE20" i="5"/>
  <c r="AD20" i="5"/>
  <c r="X20" i="5"/>
  <c r="AD19" i="5"/>
  <c r="X19" i="5"/>
  <c r="AE19" i="5" s="1"/>
  <c r="AD18" i="5"/>
  <c r="X18" i="5"/>
  <c r="AE18" i="5" s="1"/>
  <c r="AD17" i="5"/>
  <c r="X17" i="5"/>
  <c r="AE17" i="5" s="1"/>
  <c r="AD16" i="5"/>
  <c r="X16" i="5"/>
  <c r="AE16" i="5" s="1"/>
  <c r="AD15" i="5"/>
  <c r="X15" i="5"/>
  <c r="AE15" i="5" s="1"/>
  <c r="AD14" i="5"/>
  <c r="X14" i="5"/>
  <c r="AE14" i="5" s="1"/>
  <c r="AD13" i="5"/>
  <c r="AE13" i="5" s="1"/>
  <c r="X13" i="5"/>
  <c r="AE12" i="5"/>
  <c r="AD12" i="5"/>
  <c r="X12" i="5"/>
  <c r="AD11" i="5"/>
  <c r="X11" i="5"/>
  <c r="AE11" i="5" s="1"/>
  <c r="AD10" i="5"/>
  <c r="X10" i="5"/>
  <c r="AE10" i="5" s="1"/>
  <c r="AD9" i="5"/>
  <c r="X9" i="5"/>
  <c r="AE9" i="5" s="1"/>
  <c r="AD8" i="5"/>
  <c r="X8" i="5"/>
  <c r="AE8" i="5" s="1"/>
  <c r="AD7" i="5"/>
  <c r="X7" i="5"/>
  <c r="AE7" i="5" s="1"/>
  <c r="AD6" i="5"/>
  <c r="X6" i="5"/>
  <c r="AE6" i="5" s="1"/>
  <c r="AG11" i="3"/>
  <c r="AJ11" i="3" s="1"/>
  <c r="Q11" i="3"/>
  <c r="AG10" i="3"/>
  <c r="AJ10" i="3" s="1"/>
  <c r="Q10" i="3"/>
  <c r="AG9" i="3"/>
  <c r="AJ9" i="3" s="1"/>
  <c r="Q9" i="3"/>
  <c r="AJ8" i="3"/>
  <c r="AG8" i="3"/>
  <c r="Q8" i="3"/>
  <c r="AJ7" i="3"/>
  <c r="AG7" i="3"/>
  <c r="Q7" i="3"/>
  <c r="AG6" i="3"/>
  <c r="AJ6" i="3" s="1"/>
  <c r="Q6" i="3"/>
  <c r="AG5" i="3"/>
  <c r="AJ5" i="3" s="1"/>
  <c r="Q5" i="3"/>
  <c r="Y6" i="1" l="1"/>
  <c r="AE42" i="1"/>
  <c r="AE41" i="1"/>
  <c r="AE40" i="1"/>
  <c r="AE39" i="1"/>
  <c r="AE38" i="1"/>
  <c r="AE37" i="1"/>
  <c r="AE36" i="1"/>
  <c r="AE35" i="1"/>
  <c r="AE34" i="1"/>
  <c r="AE33" i="1"/>
  <c r="AE32" i="1"/>
  <c r="AE31" i="1"/>
  <c r="Y42" i="1"/>
  <c r="Y41" i="1"/>
  <c r="Y40" i="1"/>
  <c r="Y39" i="1"/>
  <c r="Y38" i="1"/>
  <c r="Y37" i="1"/>
  <c r="Y36" i="1"/>
  <c r="Y35" i="1"/>
  <c r="Y34" i="1"/>
  <c r="Y33" i="1"/>
  <c r="Y32" i="1"/>
  <c r="Y31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AF20" i="1" s="1"/>
  <c r="Y21" i="1"/>
  <c r="Y22" i="1"/>
  <c r="Y23" i="1"/>
  <c r="Y24" i="1"/>
  <c r="AF24" i="1" s="1"/>
  <c r="Y25" i="1"/>
  <c r="Y26" i="1"/>
  <c r="Y27" i="1"/>
  <c r="AF27" i="1" s="1"/>
  <c r="Y28" i="1"/>
  <c r="AF28" i="1" s="1"/>
  <c r="Y29" i="1"/>
  <c r="Y30" i="1"/>
  <c r="AF23" i="1" l="1"/>
  <c r="AF21" i="1"/>
  <c r="AF31" i="1"/>
  <c r="AF13" i="1"/>
  <c r="AF40" i="1"/>
  <c r="AF11" i="1"/>
  <c r="AF35" i="1"/>
  <c r="AF39" i="1"/>
  <c r="AF38" i="1"/>
  <c r="AF32" i="1"/>
  <c r="AF37" i="1"/>
  <c r="AF33" i="1"/>
  <c r="AF34" i="1"/>
  <c r="AF15" i="1"/>
  <c r="AF36" i="1"/>
  <c r="AF41" i="1"/>
  <c r="AF42" i="1"/>
  <c r="AF29" i="1"/>
  <c r="AF25" i="1"/>
  <c r="AF17" i="1"/>
  <c r="AF12" i="1"/>
  <c r="AF16" i="1"/>
  <c r="AF19" i="1"/>
  <c r="AF14" i="1"/>
  <c r="AF26" i="1"/>
  <c r="AF30" i="1"/>
  <c r="AF10" i="1"/>
  <c r="AF9" i="1"/>
  <c r="AF18" i="1"/>
  <c r="AF22" i="1"/>
  <c r="AF7" i="1"/>
  <c r="AF8" i="1"/>
  <c r="AE6" i="1" l="1"/>
  <c r="AF6" i="1" l="1"/>
</calcChain>
</file>

<file path=xl/sharedStrings.xml><?xml version="1.0" encoding="utf-8"?>
<sst xmlns="http://schemas.openxmlformats.org/spreadsheetml/2006/main" count="1475" uniqueCount="1210">
  <si>
    <t>FECHA</t>
  </si>
  <si>
    <t>CODIGO</t>
  </si>
  <si>
    <t>ENTREGA</t>
  </si>
  <si>
    <t>DEVOLUCION</t>
  </si>
  <si>
    <t>OT</t>
  </si>
  <si>
    <t>BOPP20630</t>
  </si>
  <si>
    <t>Total</t>
  </si>
  <si>
    <t>PROCESO</t>
  </si>
  <si>
    <t>Extrucion</t>
  </si>
  <si>
    <t>Impresión</t>
  </si>
  <si>
    <t>Laminacion</t>
  </si>
  <si>
    <t>Refilado</t>
  </si>
  <si>
    <t>Confeccion</t>
  </si>
  <si>
    <t>PROCESOS</t>
  </si>
  <si>
    <t>PMET15630</t>
  </si>
  <si>
    <t>BOPP20720</t>
  </si>
  <si>
    <t>CONSUMIDO</t>
  </si>
  <si>
    <t>PMET20720</t>
  </si>
  <si>
    <t>MAQUINA</t>
  </si>
  <si>
    <t>FORMULARIO DE CONTROL DE ENTREGA DE MATERIAS PRIMAS</t>
  </si>
  <si>
    <t>Codigo</t>
  </si>
  <si>
    <t>P-ALM-001-F-01/V.2.0</t>
  </si>
  <si>
    <t>DISEÑO</t>
  </si>
  <si>
    <t>CLIENTE</t>
  </si>
  <si>
    <t>KG</t>
  </si>
  <si>
    <t>REQ</t>
  </si>
  <si>
    <t>estrella</t>
  </si>
  <si>
    <t>FS</t>
  </si>
  <si>
    <t>bob impresión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</si>
  <si>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</si>
  <si>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pilar</t>
  </si>
  <si>
    <t>China</t>
  </si>
  <si>
    <t>Bob nultimax</t>
  </si>
  <si>
    <t>LDPE-BRASKEM</t>
  </si>
  <si>
    <t>PMET-1</t>
  </si>
  <si>
    <t>BOPP20620</t>
  </si>
  <si>
    <t>PETM12660</t>
  </si>
  <si>
    <t>FORMULARIO DE ENTRGA DE MP</t>
  </si>
  <si>
    <t>CALESITA</t>
  </si>
  <si>
    <t>COD MP</t>
  </si>
  <si>
    <t>CANTIDA 1</t>
  </si>
  <si>
    <t>CANTIDA 2</t>
  </si>
  <si>
    <t>CANTIDA 3</t>
  </si>
  <si>
    <t>CANTIDA 4</t>
  </si>
  <si>
    <t>CANTIDA 5</t>
  </si>
  <si>
    <t>CANTIDA 6</t>
  </si>
  <si>
    <t>CANTIDA 7</t>
  </si>
  <si>
    <t>CANTIDA 8</t>
  </si>
  <si>
    <t>CANTIDA 9</t>
  </si>
  <si>
    <t>CANTIDA 10</t>
  </si>
  <si>
    <t>CANTIDA 11</t>
  </si>
  <si>
    <t>CANTIDA 12</t>
  </si>
  <si>
    <t>enter</t>
  </si>
  <si>
    <t>laminacion</t>
  </si>
  <si>
    <t>boof55</t>
  </si>
  <si>
    <t>FORMULARIO DE devolucion DE MP</t>
  </si>
  <si>
    <t>calesita</t>
  </si>
  <si>
    <t>f4</t>
  </si>
  <si>
    <t>chisitos</t>
  </si>
  <si>
    <t>BOPP2015</t>
  </si>
  <si>
    <t>ESTRELLA</t>
  </si>
  <si>
    <t>fs</t>
  </si>
  <si>
    <t>pipocas</t>
  </si>
  <si>
    <t>PA1520</t>
  </si>
  <si>
    <t>PET12520</t>
  </si>
  <si>
    <t>LDPE90530+MB01</t>
  </si>
  <si>
    <t>MB01</t>
  </si>
  <si>
    <t>Laminación</t>
  </si>
  <si>
    <t>R</t>
  </si>
  <si>
    <t>R2BO</t>
  </si>
  <si>
    <t>Frigorifico del Oriente S.A. Fridosa</t>
  </si>
  <si>
    <t>iochoa</t>
  </si>
  <si>
    <t>scz</t>
  </si>
  <si>
    <t>Fridosa Bolsas Muslitos Espaciales 300g 18x25 cm</t>
  </si>
  <si>
    <t>mb</t>
  </si>
  <si>
    <t>no</t>
  </si>
  <si>
    <t>LDPE90530</t>
  </si>
  <si>
    <t>Fridosa Bolsas Pop Nuggets 300g 18x25 cm</t>
  </si>
  <si>
    <t>PETM12720</t>
  </si>
  <si>
    <t>LDPE40730</t>
  </si>
  <si>
    <t>N</t>
  </si>
  <si>
    <t>N3BB</t>
  </si>
  <si>
    <t>Octavio Mamani Arcani - Café Cruceña</t>
  </si>
  <si>
    <t>dsalazar</t>
  </si>
  <si>
    <t>Tarija</t>
  </si>
  <si>
    <t>Café Cruceña Bolsas Café Torrado Molido 50g 23x15</t>
  </si>
  <si>
    <t>Kg</t>
  </si>
  <si>
    <t>si</t>
  </si>
  <si>
    <t>LDPE40630</t>
  </si>
  <si>
    <t>Café Cruceña Bolsas Café Torrado Molido 100g</t>
  </si>
  <si>
    <t>Café Cruceña Bolsas Café Torrado Molido 250g</t>
  </si>
  <si>
    <t>BOPPMATE20520</t>
  </si>
  <si>
    <t>PETM12520</t>
  </si>
  <si>
    <t>LDPE40530</t>
  </si>
  <si>
    <t>Irupana Andean Organic Food S.A.</t>
  </si>
  <si>
    <t>vjahuira</t>
  </si>
  <si>
    <t>el alto</t>
  </si>
  <si>
    <t>Irupana Bobinas Café Torrado 50g 24x14 cm</t>
  </si>
  <si>
    <t>BOPPMATE20620</t>
  </si>
  <si>
    <t>PETM12620</t>
  </si>
  <si>
    <t>Irupana Bobinas Café Torrado 250g 28x25 cm</t>
  </si>
  <si>
    <t>BOPP20570</t>
  </si>
  <si>
    <t>ZEPOL Ltda.</t>
  </si>
  <si>
    <t>Resumen de Movimientos del 01/07/26 al 3</t>
  </si>
  <si>
    <t>EPOL MATERIA PR</t>
  </si>
  <si>
    <t>IMA Y MAT.     T.C.:  10.85000Bs/USD</t>
  </si>
  <si>
    <t>C¢digo</t>
  </si>
  <si>
    <t>Item</t>
  </si>
  <si>
    <t>LDPE-1</t>
  </si>
  <si>
    <t>Polietileno de baja densidad</t>
  </si>
  <si>
    <t>LDPE-2</t>
  </si>
  <si>
    <t>Polietileno de baja termocontra¡ble</t>
  </si>
  <si>
    <t>LDPE-3</t>
  </si>
  <si>
    <t>Polietileno Extruido</t>
  </si>
  <si>
    <t>LDPE-LINEAL</t>
  </si>
  <si>
    <t>Polietileno de Baja densidad Lineal</t>
  </si>
  <si>
    <t>LDPEPEMEX</t>
  </si>
  <si>
    <t>LDPE Pemex PX20020 P</t>
  </si>
  <si>
    <t>LDPE-TRICAPA</t>
  </si>
  <si>
    <t>Polietileno Tricapa 90-670mm</t>
  </si>
  <si>
    <t>LDPEPOLISUR</t>
  </si>
  <si>
    <t>LDPE Polisur 230M</t>
  </si>
  <si>
    <t>LDPE-VAR</t>
  </si>
  <si>
    <t>Polietileno Varios Extruido</t>
  </si>
  <si>
    <t>LDPELOTRENE</t>
  </si>
  <si>
    <t>LDPE Lotrene</t>
  </si>
  <si>
    <t>LDPEINNOPLUS</t>
  </si>
  <si>
    <t>LDPE INNOPLUS LD 2426 H</t>
  </si>
  <si>
    <t>LDPEF-GRADO</t>
  </si>
  <si>
    <t>Polietileno Fuera de Grado</t>
  </si>
  <si>
    <t>LDPE BRASKEM EB853</t>
  </si>
  <si>
    <t>LDPE DOWN586A</t>
  </si>
  <si>
    <t>LDPE DOW 586A</t>
  </si>
  <si>
    <t>LDPE-4</t>
  </si>
  <si>
    <t>Polietileno Extruido Blanco</t>
  </si>
  <si>
    <t>PELINPROXESS</t>
  </si>
  <si>
    <t>Polietileno Lineal Proxess 1806 S3</t>
  </si>
  <si>
    <t>LDPE-DOW611A</t>
  </si>
  <si>
    <t>Polietileno Dow611A</t>
  </si>
  <si>
    <t>LDPE-BRASKEMMX</t>
  </si>
  <si>
    <t>LDPE-BRASKEM LDF2723S1PL14 MEXICANO</t>
  </si>
  <si>
    <t>HDPE-1</t>
  </si>
  <si>
    <t>Polietileno de alta densidad</t>
  </si>
  <si>
    <t>LLDPE-1</t>
  </si>
  <si>
    <t>Polietileno de alta densidad lineal</t>
  </si>
  <si>
    <t>PEMET-1</t>
  </si>
  <si>
    <t>Polietileno Metaloceno</t>
  </si>
  <si>
    <t>HEXENO-1</t>
  </si>
  <si>
    <t>LDPE Lineal Hexeno HF2208s3</t>
  </si>
  <si>
    <t>LDPESAL</t>
  </si>
  <si>
    <t>Polietileno recuperado</t>
  </si>
  <si>
    <t>ADITUV</t>
  </si>
  <si>
    <t>Aditivo UV</t>
  </si>
  <si>
    <t>ADITPURGA</t>
  </si>
  <si>
    <t>Aditivo de Purga</t>
  </si>
  <si>
    <t>ANTIOXIDANTE</t>
  </si>
  <si>
    <t>Antioxidante</t>
  </si>
  <si>
    <t>ADITBIODEG</t>
  </si>
  <si>
    <t>Aditivo Biodegradable</t>
  </si>
  <si>
    <t>PESTIR-1</t>
  </si>
  <si>
    <t>Poliestireno</t>
  </si>
  <si>
    <t>PP30360</t>
  </si>
  <si>
    <t>PP 30 micras 360mm</t>
  </si>
  <si>
    <t>PP30530</t>
  </si>
  <si>
    <t>PP 30 micras 530mm</t>
  </si>
  <si>
    <t>BOPPMATE20460</t>
  </si>
  <si>
    <t>BOPP MATE 20 micrones 460 mm</t>
  </si>
  <si>
    <t>SBOPPMATE20460</t>
  </si>
  <si>
    <t>BOPP MATE 20 micrones 460 mm Red</t>
  </si>
  <si>
    <t>BOPPMATE20470</t>
  </si>
  <si>
    <t>BOPP MATE 20 micrones 470 mm</t>
  </si>
  <si>
    <t>BOPP MATE 20 micrones 520 mm</t>
  </si>
  <si>
    <t>SBOPPMATE20520</t>
  </si>
  <si>
    <t>BOPP MATE 20 micrones 520 mm Red</t>
  </si>
  <si>
    <t>BOPPMATE20530</t>
  </si>
  <si>
    <t>BOPP MATE 20 micrones 530 mm</t>
  </si>
  <si>
    <t>BOPPMATE20540</t>
  </si>
  <si>
    <t>BOPP MATE 20 micrones 540 mm</t>
  </si>
  <si>
    <t>BOPPMATE20560</t>
  </si>
  <si>
    <t>BOPP MATE 20 micrones 560 mm</t>
  </si>
  <si>
    <t>SBOPPMATE20560</t>
  </si>
  <si>
    <t>BOPP MATE 20 micrones 560 mm Red</t>
  </si>
  <si>
    <t>BOPP MATE 20 micrones 620 mm</t>
  </si>
  <si>
    <t>SBOPPMATE20620</t>
  </si>
  <si>
    <t>BOPP MATE 20 micrones 620 mm Red</t>
  </si>
  <si>
    <t>BOPPMATE20630</t>
  </si>
  <si>
    <t>BOPP MATE 20 micrones 630 mm</t>
  </si>
  <si>
    <t>BOPPMATE20640</t>
  </si>
  <si>
    <t>BOPP MATE 20 micrones 640 mm</t>
  </si>
  <si>
    <t>BOPPMATE20660</t>
  </si>
  <si>
    <t>BOPP MATE 20 micrones 660 mm</t>
  </si>
  <si>
    <t>SBOPPMATE20660</t>
  </si>
  <si>
    <t>BOPP MATE 20 micrones 660 mm Red</t>
  </si>
  <si>
    <t>BOPPMATE20670</t>
  </si>
  <si>
    <t>BOPP MATE 20 micrones 670 mm</t>
  </si>
  <si>
    <t>BOPPMATE20720</t>
  </si>
  <si>
    <t>Bopp MATE 20 micrones 720 mm</t>
  </si>
  <si>
    <t>SBOPPMATE20720</t>
  </si>
  <si>
    <t>BOPP MATE 20 MICRONES 720mm Reducido</t>
  </si>
  <si>
    <t>BOPPMATE20760</t>
  </si>
  <si>
    <t>BOPP MATE 20micrones 760 mm</t>
  </si>
  <si>
    <t>SBOPPMATE20760</t>
  </si>
  <si>
    <t>BOPP MATE 20micrones 760 mm reducido</t>
  </si>
  <si>
    <t>BOPPMATE20840</t>
  </si>
  <si>
    <t>BOPP MATE 20 micrones 840 mm</t>
  </si>
  <si>
    <t>BOPPMATE201000</t>
  </si>
  <si>
    <t>BOPP MATE 20 micrones 1000 mm</t>
  </si>
  <si>
    <t>BOPPMATE20VAR</t>
  </si>
  <si>
    <t>BOPP MATE 20 micrones Varias Medidas</t>
  </si>
  <si>
    <t>PMATEPLA20620</t>
  </si>
  <si>
    <t>PMATE PLANO 20 micrones 620 mm</t>
  </si>
  <si>
    <t>PMATEPLA20720</t>
  </si>
  <si>
    <t>PMATE PLANO 20 micrones 720 mm</t>
  </si>
  <si>
    <t>BOPP20</t>
  </si>
  <si>
    <t>BOPP 20 microne</t>
  </si>
  <si>
    <t>BOPP15520</t>
  </si>
  <si>
    <t>Bopp 15 Micrones 520 mm</t>
  </si>
  <si>
    <t>BOPP15620</t>
  </si>
  <si>
    <t>Bopp 15 Micrones 620 mm</t>
  </si>
  <si>
    <t>SBOPP15620</t>
  </si>
  <si>
    <t>BOPP 15 Micrones 620 mm Sigmaplast</t>
  </si>
  <si>
    <t>PBOPP15620</t>
  </si>
  <si>
    <t>BOPP 15 Micrones 620 mm Eco</t>
  </si>
  <si>
    <t>SBOPP15660</t>
  </si>
  <si>
    <t>BOPP 15 Micrones 660 mm Sigmaplast</t>
  </si>
  <si>
    <t>BOPP15660</t>
  </si>
  <si>
    <t>Bopp 15 Micrones 660 mm</t>
  </si>
  <si>
    <t>PBOPP15660</t>
  </si>
  <si>
    <t>Bopp 15 Micrones 660 mm Eco</t>
  </si>
  <si>
    <t>BOPP15730</t>
  </si>
  <si>
    <t>BOPP 15 Micrones 730 mm</t>
  </si>
  <si>
    <t>BOPP15740</t>
  </si>
  <si>
    <t>Bopp 15 Micrones 740 mm</t>
  </si>
  <si>
    <t>BOPP15980</t>
  </si>
  <si>
    <t>Bopp 15 Micrones 980 mm</t>
  </si>
  <si>
    <t>BOPP17620</t>
  </si>
  <si>
    <t>Bopp 17 Micrones 620 mm</t>
  </si>
  <si>
    <t>BOPP17630</t>
  </si>
  <si>
    <t>Bopp 17 Micrones 630 mm</t>
  </si>
  <si>
    <t>BOPP17650</t>
  </si>
  <si>
    <t>BOPP 17 micrones 650 mm</t>
  </si>
  <si>
    <t>BOPP17660</t>
  </si>
  <si>
    <t>BOPP 17 micrones 660 mm</t>
  </si>
  <si>
    <t>SBOPP17660</t>
  </si>
  <si>
    <t>Bopp 17 micrones 660 mm reducido</t>
  </si>
  <si>
    <t>BOPP17720</t>
  </si>
  <si>
    <t>BOPP 17 micrones 720 mm</t>
  </si>
  <si>
    <t>BOPP17760</t>
  </si>
  <si>
    <t>BOPP 17 micrones 760 mm</t>
  </si>
  <si>
    <t>SBOPP17760</t>
  </si>
  <si>
    <t>Bopp 17 micrones 760 mm reducido</t>
  </si>
  <si>
    <t>BOPPMATEVAR</t>
  </si>
  <si>
    <t>BOPP MATE Varias Medidas</t>
  </si>
  <si>
    <t>BOPP18720</t>
  </si>
  <si>
    <t>BOPP 18 micrones 720 mm</t>
  </si>
  <si>
    <t>BOPP18V</t>
  </si>
  <si>
    <t>BOPP 18 micrones Varias Medidas</t>
  </si>
  <si>
    <t>BOPP201000</t>
  </si>
  <si>
    <t>BOPP 20 micrones 1000 mm.</t>
  </si>
  <si>
    <t>CASTBOPP20520</t>
  </si>
  <si>
    <t>CAST BOPP 20 micrones 520 mm</t>
  </si>
  <si>
    <t>BOPP20460</t>
  </si>
  <si>
    <t>Bopp 20 micrones 460 mm</t>
  </si>
  <si>
    <t>SBOPP20460</t>
  </si>
  <si>
    <t>BOPP 20 micrones 460 mm Sigmaplast</t>
  </si>
  <si>
    <t>PBOPP20460</t>
  </si>
  <si>
    <t>BOPP 20 micrones 460 mm Eco</t>
  </si>
  <si>
    <t>BOPP20515</t>
  </si>
  <si>
    <t>BOPP 20 micrones 515 mm</t>
  </si>
  <si>
    <t>SBOPP20515</t>
  </si>
  <si>
    <t>BOPP 20 micrones 515 mm Sigmaplast</t>
  </si>
  <si>
    <t>PBOPP20515</t>
  </si>
  <si>
    <t>BOPP 20 micrones 515 mm Eco</t>
  </si>
  <si>
    <t>BOPP20520</t>
  </si>
  <si>
    <t>BOPP 20 micrones 520 mm</t>
  </si>
  <si>
    <t>SBOPP20520</t>
  </si>
  <si>
    <t>BOPP 20 micrones 520 mm reducido</t>
  </si>
  <si>
    <t>PBOPP20520</t>
  </si>
  <si>
    <t>BOPP 20 mirones 520 mm Eco</t>
  </si>
  <si>
    <t>BOPP20525</t>
  </si>
  <si>
    <t>BOPP 20 micrones 525 mm</t>
  </si>
  <si>
    <t>SBOPP20525</t>
  </si>
  <si>
    <t>BOPP 20 micrones 525 mm Sigmaplast</t>
  </si>
  <si>
    <t>BOPP20560</t>
  </si>
  <si>
    <t>BOPP 20 micrones 560 mm</t>
  </si>
  <si>
    <t>SBOPP20560</t>
  </si>
  <si>
    <t>BOPP 20 micrones 560 mm Red</t>
  </si>
  <si>
    <t>BOPP 20 micrones 570 mm</t>
  </si>
  <si>
    <t>SBOPP20570</t>
  </si>
  <si>
    <t>BOPP 20 micrones 570 mm Sigmaplast</t>
  </si>
  <si>
    <t>PBOPP20570</t>
  </si>
  <si>
    <t>BOPP 20 micrones 570 mm Eco</t>
  </si>
  <si>
    <t>BOPP20600</t>
  </si>
  <si>
    <t>BOPP 20 micrones 600 mm.</t>
  </si>
  <si>
    <t>BOPP 20 micrones 620 mm</t>
  </si>
  <si>
    <t>SBOPP20620</t>
  </si>
  <si>
    <t>BOPP 20 micrones 620 mm Red</t>
  </si>
  <si>
    <t>PBOPP20620</t>
  </si>
  <si>
    <t>BOPP 20 micrones 620 mm Eco</t>
  </si>
  <si>
    <t>BOPP 20 micrones 630 mm</t>
  </si>
  <si>
    <t>SBOPP20630</t>
  </si>
  <si>
    <t>BOPP 20 micrones 630 mm Red</t>
  </si>
  <si>
    <t>BOPP20640</t>
  </si>
  <si>
    <t>BOPP 20 micrones 640 mm</t>
  </si>
  <si>
    <t>SBOPP20640</t>
  </si>
  <si>
    <t>BOPP 20 micrones 640 mm Red</t>
  </si>
  <si>
    <t>BOPP20650</t>
  </si>
  <si>
    <t>BOPP 20 micrones 650 mm</t>
  </si>
  <si>
    <t>SBOPP20650</t>
  </si>
  <si>
    <t>BOPP 20 micrones 650 mm Red</t>
  </si>
  <si>
    <t>BOPP20660</t>
  </si>
  <si>
    <t>BOPP 20 micrones 660 mm.</t>
  </si>
  <si>
    <t>SBOPP20660</t>
  </si>
  <si>
    <t>BOPP 20 micrones 660 mm Sigmaplast</t>
  </si>
  <si>
    <t>PBOPP20660</t>
  </si>
  <si>
    <t>BOPP 20 micrones 660 mm Eco</t>
  </si>
  <si>
    <t>BOPP20680</t>
  </si>
  <si>
    <t>BOPP 20 micrones 680 mm</t>
  </si>
  <si>
    <t>BOPP 20 micrones 720 mm.</t>
  </si>
  <si>
    <t>SBOPP20720</t>
  </si>
  <si>
    <t>BOPP 20 micrones 720 mm Sigmaplast</t>
  </si>
  <si>
    <t>PBOPP20720</t>
  </si>
  <si>
    <t>BOPP 20 micrones 720 mm Eco</t>
  </si>
  <si>
    <t>BOPP20760</t>
  </si>
  <si>
    <t>BOPP 20 micrones 760 mm.</t>
  </si>
  <si>
    <t>BOPLH20760</t>
  </si>
  <si>
    <t>BOPP LH 20 micrones 760 mm</t>
  </si>
  <si>
    <t>BOPLH20620</t>
  </si>
  <si>
    <t>BOPP LH 20 micrones 620 mm</t>
  </si>
  <si>
    <t>SBOPP20760</t>
  </si>
  <si>
    <t>BOPP 20 micrones 760 mm Sigmaplast</t>
  </si>
  <si>
    <t>BOPP20780</t>
  </si>
  <si>
    <t>BOPP 20 micrones 780 mm.</t>
  </si>
  <si>
    <t>SBOPP20780</t>
  </si>
  <si>
    <t>BOPP 20 micrones 781 Red</t>
  </si>
  <si>
    <t>BOPP20840</t>
  </si>
  <si>
    <t>BOPP 20 micrones 840 mm</t>
  </si>
  <si>
    <t>SBOPP20840</t>
  </si>
  <si>
    <t>PBOPP20840</t>
  </si>
  <si>
    <t>BOPP 20 micrones 840 mm Eco</t>
  </si>
  <si>
    <t>BOPP20880</t>
  </si>
  <si>
    <t>BOPP 20 micrones 880 mm.</t>
  </si>
  <si>
    <t>SBOPP20880</t>
  </si>
  <si>
    <t>BOPP 20 micrones 880 mm Sigmaplast</t>
  </si>
  <si>
    <t>BOPP20980</t>
  </si>
  <si>
    <t>BOPP 20 micrones 980 mm</t>
  </si>
  <si>
    <t>BOPP201030</t>
  </si>
  <si>
    <t>BOPP 20 micrones 1030 mm.</t>
  </si>
  <si>
    <t>BOPP20V</t>
  </si>
  <si>
    <t>BOPP 20 micrones Varias Medidas</t>
  </si>
  <si>
    <t>CASTBOPP25720</t>
  </si>
  <si>
    <t>CAST Bopp 25 micrones 720 mm</t>
  </si>
  <si>
    <t>CASTBOPP25620</t>
  </si>
  <si>
    <t>Cast Bopp 25 micras 620 mm</t>
  </si>
  <si>
    <t>CASTBOPP25560</t>
  </si>
  <si>
    <t>Cast Bopp 25 micras 560 mm</t>
  </si>
  <si>
    <t>CASTBOPP30520</t>
  </si>
  <si>
    <t>Cast Bopp 30 Micrones 520 mm</t>
  </si>
  <si>
    <t>CASTBOPP30660</t>
  </si>
  <si>
    <t>CAST Bopp 30 micrones 660 mm</t>
  </si>
  <si>
    <t>CASTBOPP30760</t>
  </si>
  <si>
    <t>CAST Bopp 30 micrones 760 mm</t>
  </si>
  <si>
    <t>SCASTBOPP30520</t>
  </si>
  <si>
    <t>Cast Bopp 30 Micrones 520 mm reducido</t>
  </si>
  <si>
    <t>SCASTBOPP30760</t>
  </si>
  <si>
    <t>Cast Bopp 30 micrones 760 mm reducido</t>
  </si>
  <si>
    <t>SCASTBOPP30660</t>
  </si>
  <si>
    <t>Cast Bopp 30 Micrones 660 mm Red</t>
  </si>
  <si>
    <t>CASTBOPP30460</t>
  </si>
  <si>
    <t>Cast Bopp 30 Micrones 460 mm</t>
  </si>
  <si>
    <t>CASTBOPP30560</t>
  </si>
  <si>
    <t>Cast Bopp 30 Micrones 560 mm</t>
  </si>
  <si>
    <t>CASTBOPP30620</t>
  </si>
  <si>
    <t>Cast Bopp 30 Micrones 620 mm</t>
  </si>
  <si>
    <t>BOPP30460</t>
  </si>
  <si>
    <t>BOPP 30 micrones 460 mm</t>
  </si>
  <si>
    <t>BOPP30520</t>
  </si>
  <si>
    <t>BOPP 30 micrones 520 mm</t>
  </si>
  <si>
    <t>SBOPP30520</t>
  </si>
  <si>
    <t>BOPP 30 micrones 520 mm Red.</t>
  </si>
  <si>
    <t>BOPP30524</t>
  </si>
  <si>
    <t>BOPP 30 micrones 524 mm.</t>
  </si>
  <si>
    <t>SBOPP30524</t>
  </si>
  <si>
    <t>BOPP 30 micrones 524 mm Sigmaplast</t>
  </si>
  <si>
    <t>PBOPP30524</t>
  </si>
  <si>
    <t>BOPP 30 micrones 524 mm Eco</t>
  </si>
  <si>
    <t>BOPP30560</t>
  </si>
  <si>
    <t>BOPP 30 micrones 560 mm.</t>
  </si>
  <si>
    <t>PBOPP30580</t>
  </si>
  <si>
    <t>BOPP 30 micrones 580 mm Eco</t>
  </si>
  <si>
    <t>BOPP30620</t>
  </si>
  <si>
    <t>BOPP 30 micrones 620 mm</t>
  </si>
  <si>
    <t>SBOPP30620</t>
  </si>
  <si>
    <t>BOPP 30 micrones 620  mm Sigmaplast</t>
  </si>
  <si>
    <t>PBOPP30620</t>
  </si>
  <si>
    <t>BOPP 30 micrones 620 mm Eco</t>
  </si>
  <si>
    <t>BOPP30660</t>
  </si>
  <si>
    <t>BOPP 30 micrones 660 mm.</t>
  </si>
  <si>
    <t>SBOPP30660</t>
  </si>
  <si>
    <t>BOPP 30 micrones 660 mm Sigmaplast</t>
  </si>
  <si>
    <t>BOPP30675</t>
  </si>
  <si>
    <t>BOPP 30 micrones 675 mm.</t>
  </si>
  <si>
    <t>BOPP30720</t>
  </si>
  <si>
    <t>BOPP 30 micrones 720 mm.</t>
  </si>
  <si>
    <t>SBOPP30720</t>
  </si>
  <si>
    <t>BOPP 30 micrones 720 mm Sigmaplast</t>
  </si>
  <si>
    <t>BOPP30760</t>
  </si>
  <si>
    <t>BOPP 30 micrones 760 mm.</t>
  </si>
  <si>
    <t>SBOPP30760</t>
  </si>
  <si>
    <t>BOPP 30 micrones 760 mm Sigmaplast</t>
  </si>
  <si>
    <t>BOPP30780</t>
  </si>
  <si>
    <t>BOPP 30 micrones 780 mm</t>
  </si>
  <si>
    <t>BOPP30800</t>
  </si>
  <si>
    <t>Bopp 30 micrones 800 mm</t>
  </si>
  <si>
    <t>SBOPP30800</t>
  </si>
  <si>
    <t>BOPP 30 micrones 800 mm Sigmaplast</t>
  </si>
  <si>
    <t>BOPP30840</t>
  </si>
  <si>
    <t>BOPP 30 micrones 840 mm</t>
  </si>
  <si>
    <t>BOPP30980</t>
  </si>
  <si>
    <t>BOPP 30 micrones 980 mm</t>
  </si>
  <si>
    <t>BOPP301000</t>
  </si>
  <si>
    <t>BOPP 30 micrones 1000 mm.</t>
  </si>
  <si>
    <t>BOPP30V</t>
  </si>
  <si>
    <t>BOPP 30 micrones Varias Medidas</t>
  </si>
  <si>
    <t>BOPP35460</t>
  </si>
  <si>
    <t>BOPP 35 micrones 460 mm</t>
  </si>
  <si>
    <t>SBOPP35460</t>
  </si>
  <si>
    <t>BOPP 35 micrones 460 mm Sigmaplast</t>
  </si>
  <si>
    <t>BOPP35500</t>
  </si>
  <si>
    <t>BOPP 35 micrones 500 mm</t>
  </si>
  <si>
    <t>BOPP35560</t>
  </si>
  <si>
    <t>BOPP 35 micras 560 mm</t>
  </si>
  <si>
    <t>SBOPP35560</t>
  </si>
  <si>
    <t>BOPP 35 micrones 560 mm Sigmaplast</t>
  </si>
  <si>
    <t>BOPP35620</t>
  </si>
  <si>
    <t>BOPP 35 micrones 620 mm</t>
  </si>
  <si>
    <t>SBOPP35620</t>
  </si>
  <si>
    <t>BOPP 35 micrones 620 mm Sigmaplast</t>
  </si>
  <si>
    <t>PBOPP35620</t>
  </si>
  <si>
    <t>BOPP 35 micrones 620 mm Eco</t>
  </si>
  <si>
    <t>BOPP35650</t>
  </si>
  <si>
    <t>BOPP 35 micrones 650 mm</t>
  </si>
  <si>
    <t>SBOPP35650</t>
  </si>
  <si>
    <t>BOPP 35 micrones 650 mm Red</t>
  </si>
  <si>
    <t>BOPP35660</t>
  </si>
  <si>
    <t>BOPP 35 micrones 660 mm</t>
  </si>
  <si>
    <t>SBOPP35660</t>
  </si>
  <si>
    <t>BOPP 35 micrones 660 mm Red</t>
  </si>
  <si>
    <t>BOPP35680</t>
  </si>
  <si>
    <t>BOPP 35 micrones 680 mm</t>
  </si>
  <si>
    <t>SBOPP35680</t>
  </si>
  <si>
    <t>BOPP 35 micrones 680 mm Red</t>
  </si>
  <si>
    <t>BOPP35720</t>
  </si>
  <si>
    <t>BOPP 35 micrones 720 mm.</t>
  </si>
  <si>
    <t>BOPP35760</t>
  </si>
  <si>
    <t>BOPP 35 micrones 760 mm.</t>
  </si>
  <si>
    <t>SBOPP35760</t>
  </si>
  <si>
    <t>BOPP 35 micrones 760 mm Sigmaplast</t>
  </si>
  <si>
    <t>BOPP35840</t>
  </si>
  <si>
    <t>BOPP 35 micrones 840 mm</t>
  </si>
  <si>
    <t>SBOPP35840</t>
  </si>
  <si>
    <t>Bopp 35 Micrones 840 mm reducido</t>
  </si>
  <si>
    <t>BOPP35920</t>
  </si>
  <si>
    <t>BOPP 35 micrones 920 mm</t>
  </si>
  <si>
    <t>BOPP351000</t>
  </si>
  <si>
    <t>BOPP 35 micrones 1000 mm.</t>
  </si>
  <si>
    <t>BOPP35V</t>
  </si>
  <si>
    <t>BOPP 35 micrones Varias Medidas</t>
  </si>
  <si>
    <t>CASTBOPP40620</t>
  </si>
  <si>
    <t>CAST Bopp 40 micras 620 mm</t>
  </si>
  <si>
    <t>CASTBOPP40520</t>
  </si>
  <si>
    <t>CAST BOPP 40 micrones 520 mm</t>
  </si>
  <si>
    <t>SCASTBOPP40520</t>
  </si>
  <si>
    <t>CAST BOPP 40 micrones 520 mm Sigmaplast</t>
  </si>
  <si>
    <t>SCASTBOPP40620</t>
  </si>
  <si>
    <t>CAST BOPP 40 micrones 620 mm Reducido</t>
  </si>
  <si>
    <t>BOPP40800</t>
  </si>
  <si>
    <t>BOPP 40 micrones 800 mm.</t>
  </si>
  <si>
    <t>BOPP401000</t>
  </si>
  <si>
    <t>BOPP 40 micrones 1000 mm.</t>
  </si>
  <si>
    <t>BOPP40V</t>
  </si>
  <si>
    <t>BOPP 40 micrones Varias Medidas</t>
  </si>
  <si>
    <t>BOPPLH20520</t>
  </si>
  <si>
    <t>BOPP LH 20 micrones 520 mm</t>
  </si>
  <si>
    <t>BOPPLH20620</t>
  </si>
  <si>
    <t>BOPPLH20760</t>
  </si>
  <si>
    <t>SPB20880</t>
  </si>
  <si>
    <t>PB 20 micrones 880 mm</t>
  </si>
  <si>
    <t>PB25460</t>
  </si>
  <si>
    <t>PB 25 Micrones 460</t>
  </si>
  <si>
    <t>PB25520</t>
  </si>
  <si>
    <t>PB 25 Micrones 520 mm</t>
  </si>
  <si>
    <t>SPB25520</t>
  </si>
  <si>
    <t>PB 25 Micrones 520 mm Red</t>
  </si>
  <si>
    <t>PB25540</t>
  </si>
  <si>
    <t>PB 25 Micrones 540 mm</t>
  </si>
  <si>
    <t>PB25620</t>
  </si>
  <si>
    <t>PB 25 Micrones 620 mm</t>
  </si>
  <si>
    <t>SPB25620</t>
  </si>
  <si>
    <t>PB 25 Micrones 620 mm Red</t>
  </si>
  <si>
    <t>PB25680</t>
  </si>
  <si>
    <t>PB 25 Micrones 680 mm</t>
  </si>
  <si>
    <t>PB25720</t>
  </si>
  <si>
    <t>PB 25 Micrones 720 mm</t>
  </si>
  <si>
    <t>SPB25720</t>
  </si>
  <si>
    <t>PB 25 micrones 720 mm</t>
  </si>
  <si>
    <t>PB251200</t>
  </si>
  <si>
    <t>PB 25 Micrones 1200 mm</t>
  </si>
  <si>
    <t>PB25V</t>
  </si>
  <si>
    <t>PB 25 Micrones Varias Medidas</t>
  </si>
  <si>
    <t>PB30520</t>
  </si>
  <si>
    <t>PB 30 Micrones 520 mm.</t>
  </si>
  <si>
    <t>SPB30520</t>
  </si>
  <si>
    <t>PB 30 Micrones 520 mm. Reducido</t>
  </si>
  <si>
    <t>PB30580</t>
  </si>
  <si>
    <t>PB 30 Micrones 580 mm.</t>
  </si>
  <si>
    <t>PB30620</t>
  </si>
  <si>
    <t>PB 30 Micrones 620 mm.</t>
  </si>
  <si>
    <t>SPB30620</t>
  </si>
  <si>
    <t>PB 30 Micrones 620 mm. Reducido</t>
  </si>
  <si>
    <t>PB30720</t>
  </si>
  <si>
    <t>PB 30 Micrones 720 mm.</t>
  </si>
  <si>
    <t>SPB30720</t>
  </si>
  <si>
    <t>PB 30 Micrones 720 mm. Reducido</t>
  </si>
  <si>
    <t>PB30760</t>
  </si>
  <si>
    <t>PB 30 micrones 760 mm.</t>
  </si>
  <si>
    <t>PB30800</t>
  </si>
  <si>
    <t>PB 30 micrones 800 mm</t>
  </si>
  <si>
    <t>PB30830</t>
  </si>
  <si>
    <t>PB 30 micrones 830 mm.</t>
  </si>
  <si>
    <t>PB30880</t>
  </si>
  <si>
    <t>PB 30 micrones 880 mm.</t>
  </si>
  <si>
    <t>SPB30880</t>
  </si>
  <si>
    <t>PB301200</t>
  </si>
  <si>
    <t>PB 30 Micrones 1200 mm.</t>
  </si>
  <si>
    <t>SPB301200</t>
  </si>
  <si>
    <t>PB 30 Micrones 1200 mm. Reducido</t>
  </si>
  <si>
    <t>PB30V</t>
  </si>
  <si>
    <t>PB 30 micrones Varias Medidas</t>
  </si>
  <si>
    <t>PB35720</t>
  </si>
  <si>
    <t>PB 35 Micrones 720 mm.</t>
  </si>
  <si>
    <t>SPB35720</t>
  </si>
  <si>
    <t>PB 35 Micrones 720 mm. Reducido</t>
  </si>
  <si>
    <t>PB40630</t>
  </si>
  <si>
    <t>PB 40 micrones 630 mm.</t>
  </si>
  <si>
    <t>PB40720</t>
  </si>
  <si>
    <t>PB 40 micrones 720 mm.</t>
  </si>
  <si>
    <t>PB40740</t>
  </si>
  <si>
    <t>PB 40 micrones 740 mm</t>
  </si>
  <si>
    <t>PB40750</t>
  </si>
  <si>
    <t>PB 40 micrones 750 mm</t>
  </si>
  <si>
    <t>SPB40750</t>
  </si>
  <si>
    <t>PB 40 micrones 750 mm reducido</t>
  </si>
  <si>
    <t>PB401000</t>
  </si>
  <si>
    <t>PB 40 micrones 1000 mm.</t>
  </si>
  <si>
    <t>PB40V</t>
  </si>
  <si>
    <t>PB 40 micrones Varias Medidas</t>
  </si>
  <si>
    <t>PMET15460</t>
  </si>
  <si>
    <t>PMET 15 micrones 460 mm</t>
  </si>
  <si>
    <t>PMET15520</t>
  </si>
  <si>
    <t>PMET 15 micrones 520 mm</t>
  </si>
  <si>
    <t>PMET15620</t>
  </si>
  <si>
    <t>PMET 15 micrones 620 mm</t>
  </si>
  <si>
    <t>PMET 15 micrones 630 mm</t>
  </si>
  <si>
    <t>SPMET15630</t>
  </si>
  <si>
    <t>PMET 15 micrones 630 mm Red</t>
  </si>
  <si>
    <t>PMET15650</t>
  </si>
  <si>
    <t>PMET 15 micrones 650 mm</t>
  </si>
  <si>
    <t>SPMET15650</t>
  </si>
  <si>
    <t>PMET 15 micrones 650 mm Red</t>
  </si>
  <si>
    <t>PPMET15650</t>
  </si>
  <si>
    <t>PMET 15 micrones 650 mm Eco</t>
  </si>
  <si>
    <t>PMET15660</t>
  </si>
  <si>
    <t>PMET 15 micrones 660 mm</t>
  </si>
  <si>
    <t>SPMET15660</t>
  </si>
  <si>
    <t>PMET 15 micrones 660 mm Sigmaplast</t>
  </si>
  <si>
    <t>PPMET15660</t>
  </si>
  <si>
    <t>PMET 15 micrones 660 mm Eco</t>
  </si>
  <si>
    <t>PMET15730</t>
  </si>
  <si>
    <t>PMET 15 micrones 730 mm</t>
  </si>
  <si>
    <t>PMET15740</t>
  </si>
  <si>
    <t>PMET 15 micrones 740 mm</t>
  </si>
  <si>
    <t>SPMET15740</t>
  </si>
  <si>
    <t>PMET 15 micrones 640 mm Red</t>
  </si>
  <si>
    <t>PMET17520</t>
  </si>
  <si>
    <t>PMET 17 micrones 520 mm</t>
  </si>
  <si>
    <t>PMET17560</t>
  </si>
  <si>
    <t>PMET 17 micrones 560 mm</t>
  </si>
  <si>
    <t>PMET17620</t>
  </si>
  <si>
    <t>PMET 17 micrones 620 mm</t>
  </si>
  <si>
    <t>PMET17630</t>
  </si>
  <si>
    <t>PMET 17 micrones 630 mm</t>
  </si>
  <si>
    <t>PMET17650</t>
  </si>
  <si>
    <t>PMET 17 micrones 650 mm</t>
  </si>
  <si>
    <t>PMET17660</t>
  </si>
  <si>
    <t>PMET 17 Micrones 660 mm</t>
  </si>
  <si>
    <t>PMET17720</t>
  </si>
  <si>
    <t>PMET 17 Micrones 720 mm</t>
  </si>
  <si>
    <t>PMET17760</t>
  </si>
  <si>
    <t>PMET 17 micrones 760 mm.</t>
  </si>
  <si>
    <t>PMET18720</t>
  </si>
  <si>
    <t>PMET 18 micrones 720 mm.</t>
  </si>
  <si>
    <t>PMET18V</t>
  </si>
  <si>
    <t>PMET 18 micrones Varias Medidas</t>
  </si>
  <si>
    <t>PMET20460</t>
  </si>
  <si>
    <t>PMET 20 micrones 460 mm</t>
  </si>
  <si>
    <t>SPMET20460</t>
  </si>
  <si>
    <t>PMET 20 micrones 460 mm Red</t>
  </si>
  <si>
    <t>PMET20520</t>
  </si>
  <si>
    <t>PMET 20 micrones 520 mm</t>
  </si>
  <si>
    <t>SPMET20520</t>
  </si>
  <si>
    <t>PMET 20 micrones 520 mm Red</t>
  </si>
  <si>
    <t>PPMET20520</t>
  </si>
  <si>
    <t>PMET 20 micrones 520 mm Eco</t>
  </si>
  <si>
    <t>PMET20525</t>
  </si>
  <si>
    <t>PMET 20 micrones 525 mm</t>
  </si>
  <si>
    <t>SPMET20525</t>
  </si>
  <si>
    <t>PMET 20 micrones 525 mm Sigmaplast</t>
  </si>
  <si>
    <t>PPMET20525</t>
  </si>
  <si>
    <t>PMET 20 micrones 525 mm Eco</t>
  </si>
  <si>
    <t>PMET20540</t>
  </si>
  <si>
    <t>PMET 20 Micrones 540 mm</t>
  </si>
  <si>
    <t>PMET20560</t>
  </si>
  <si>
    <t>PMET 20 Micrones 560 mm</t>
  </si>
  <si>
    <t>PPMET20580</t>
  </si>
  <si>
    <t>PMET 20 micrones 580 mm Eco</t>
  </si>
  <si>
    <t>PMET20620</t>
  </si>
  <si>
    <t>PMET 20 micrones 620 mm</t>
  </si>
  <si>
    <t>SPMET20620</t>
  </si>
  <si>
    <t>PMET 20 micrones 620 mm Sigmaplast</t>
  </si>
  <si>
    <t>PPMET20620</t>
  </si>
  <si>
    <t>PMET 20 micrones 620 mm Eco</t>
  </si>
  <si>
    <t>PMET20630</t>
  </si>
  <si>
    <t>PMET 20 micrones 630 mm</t>
  </si>
  <si>
    <t>PMET20640</t>
  </si>
  <si>
    <t>PMET 20 micrones 640 mm</t>
  </si>
  <si>
    <t>PMET20660</t>
  </si>
  <si>
    <t>PMET 20 micrones 660 mm</t>
  </si>
  <si>
    <t>SPMET20660</t>
  </si>
  <si>
    <t>PMET 20 micrones 660 mm Sigmaplast</t>
  </si>
  <si>
    <t>PPMET20660</t>
  </si>
  <si>
    <t>PMET 20 micrones 660 mm Eco</t>
  </si>
  <si>
    <t>PMET20690</t>
  </si>
  <si>
    <t>PMET 20 micrones 690 mm.</t>
  </si>
  <si>
    <t>SPMET20690</t>
  </si>
  <si>
    <t>PMET 20 micrones 690 mm Sigmaplast</t>
  </si>
  <si>
    <t>PMET 20 micrones 720 mm.</t>
  </si>
  <si>
    <t>SPMET20720</t>
  </si>
  <si>
    <t>PMET 20 micrones 720 mm Sigmaplast</t>
  </si>
  <si>
    <t>PPMET20720</t>
  </si>
  <si>
    <t>PMET 20 micrones 720 mm Eco</t>
  </si>
  <si>
    <t>PMET20760</t>
  </si>
  <si>
    <t>PMET 20 micrones 760 mm</t>
  </si>
  <si>
    <t>SPMET20760</t>
  </si>
  <si>
    <t>PMET 20 micrones 760 mm Red</t>
  </si>
  <si>
    <t>PMET20780</t>
  </si>
  <si>
    <t>PMET 20 micrones 780 mm</t>
  </si>
  <si>
    <t>SPMET20780</t>
  </si>
  <si>
    <t>PMET 20 micrones 780 mm Red</t>
  </si>
  <si>
    <t>PMET20840</t>
  </si>
  <si>
    <t>PMET 20 micrones 840 mm</t>
  </si>
  <si>
    <t>SPMET20840</t>
  </si>
  <si>
    <t>PMET 20 micrones 840 mm Sigmaplast</t>
  </si>
  <si>
    <t>PPMET20840</t>
  </si>
  <si>
    <t>PMET 20 micrones 840 mm Eco</t>
  </si>
  <si>
    <t>PMET20980</t>
  </si>
  <si>
    <t>PMET 20 micrones 980 mm</t>
  </si>
  <si>
    <t>PMET201000</t>
  </si>
  <si>
    <t>PMET 20 micrones 1000 mm</t>
  </si>
  <si>
    <t>PMET20V</t>
  </si>
  <si>
    <t>PMET 20 micrones Varias Medidas</t>
  </si>
  <si>
    <t>CASTMET25520</t>
  </si>
  <si>
    <t>CAST MET 25 micrones 520 mm</t>
  </si>
  <si>
    <t>CASTMET25560</t>
  </si>
  <si>
    <t>CAST MET 25 micrones 560 mm</t>
  </si>
  <si>
    <t>CASTMET25660</t>
  </si>
  <si>
    <t>CAST MET 25 micrones 660 mm</t>
  </si>
  <si>
    <t>CASTMET25760</t>
  </si>
  <si>
    <t>CAST MET 25 micrones 760 mm</t>
  </si>
  <si>
    <t>BMET12520</t>
  </si>
  <si>
    <t>BMET 12 micrones 520 mm</t>
  </si>
  <si>
    <t>BMET12660</t>
  </si>
  <si>
    <t>BMET 12 micrones 660 mm</t>
  </si>
  <si>
    <t>BMET12720</t>
  </si>
  <si>
    <t>BMET 12 micrones 720 mm</t>
  </si>
  <si>
    <t>BMET18520</t>
  </si>
  <si>
    <t>BMET 18 micrones 520 mm</t>
  </si>
  <si>
    <t>85AXT800</t>
  </si>
  <si>
    <t>85 AXT 800 mm</t>
  </si>
  <si>
    <t>70MLT800</t>
  </si>
  <si>
    <t>70 MLT 800 mm.</t>
  </si>
  <si>
    <t>70MLTV</t>
  </si>
  <si>
    <t>70 MLT Varias Medidas</t>
  </si>
  <si>
    <t>110ASBX600</t>
  </si>
  <si>
    <t>110 ASB-X 600 mm.</t>
  </si>
  <si>
    <t>120LTSC600</t>
  </si>
  <si>
    <t>120 LTSC 600 mm.</t>
  </si>
  <si>
    <t>120LTSCV</t>
  </si>
  <si>
    <t>120 LTSC Varias Medidas</t>
  </si>
  <si>
    <t>35MU760</t>
  </si>
  <si>
    <t>35 MU 842 760 mm.</t>
  </si>
  <si>
    <t>BIOFLEX</t>
  </si>
  <si>
    <t>BIOFLEX -33520mm</t>
  </si>
  <si>
    <t>ASW720</t>
  </si>
  <si>
    <t>250 ASW 720 mm.</t>
  </si>
  <si>
    <t>ASWVARMEDIDAS</t>
  </si>
  <si>
    <t>ASW Varias Medidas</t>
  </si>
  <si>
    <t>ESPV</t>
  </si>
  <si>
    <t>Polipropileno Especial Varias Medidas</t>
  </si>
  <si>
    <t>PVCT820</t>
  </si>
  <si>
    <t>PVC Transparente 32 micrones 820 mm.</t>
  </si>
  <si>
    <t>PVCTV</t>
  </si>
  <si>
    <t>PVC Transparente 32 micrones Varias Medidas</t>
  </si>
  <si>
    <t>PAP40</t>
  </si>
  <si>
    <t>PVC Transparente</t>
  </si>
  <si>
    <t>PVCM820</t>
  </si>
  <si>
    <t>PVC Metalizado 32 micrones 820 mm.</t>
  </si>
  <si>
    <t>PVCMV</t>
  </si>
  <si>
    <t>PVC Metalizado 32 micrones Varias Medidas</t>
  </si>
  <si>
    <t>PET 12 micrones 520 mm</t>
  </si>
  <si>
    <t>SPET12520</t>
  </si>
  <si>
    <t>PET 12 micrones 520 mm Reducido</t>
  </si>
  <si>
    <t>PET12620</t>
  </si>
  <si>
    <t>PET 12 micrones 620 mm</t>
  </si>
  <si>
    <t>SPET12620</t>
  </si>
  <si>
    <t>PET 12 micrones 620 mm Reducido</t>
  </si>
  <si>
    <t>PET12640</t>
  </si>
  <si>
    <t>PET 12 micrones 640mm</t>
  </si>
  <si>
    <t>SPET12640</t>
  </si>
  <si>
    <t>PET 12 micrones 640 mm Red</t>
  </si>
  <si>
    <t>PET12660</t>
  </si>
  <si>
    <t>PET 12 micrones 660 mm</t>
  </si>
  <si>
    <t>SPET12660</t>
  </si>
  <si>
    <t>PET 12 micrones 660 mm Reducido</t>
  </si>
  <si>
    <t>PPET12660</t>
  </si>
  <si>
    <t>PET 12 micrones 660 mm Eco</t>
  </si>
  <si>
    <t>PET12720</t>
  </si>
  <si>
    <t>PET 12 micrones 720 mm</t>
  </si>
  <si>
    <t>SPET12720</t>
  </si>
  <si>
    <t>PET 12 micrones 720 mm Reducido</t>
  </si>
  <si>
    <t>PPET12720</t>
  </si>
  <si>
    <t>PET 12 micrones 720 mm Eco</t>
  </si>
  <si>
    <t>PET12760</t>
  </si>
  <si>
    <t>PET 12 micrones 760mm</t>
  </si>
  <si>
    <t>SPET12760</t>
  </si>
  <si>
    <t>PET 12 micrones 760 mm Reducido</t>
  </si>
  <si>
    <t>PPET12760</t>
  </si>
  <si>
    <t>Pet 12 micrones 760 mm Eco</t>
  </si>
  <si>
    <t>PET12800</t>
  </si>
  <si>
    <t>PET 12 micrones 800 mm.</t>
  </si>
  <si>
    <t>PET12830</t>
  </si>
  <si>
    <t>PET 12 micrones 830 mm</t>
  </si>
  <si>
    <t>PET12880</t>
  </si>
  <si>
    <t>PET 12 micrones 880 mm</t>
  </si>
  <si>
    <t>PET12V</t>
  </si>
  <si>
    <t>PET 12 Micrones Varias Medidas</t>
  </si>
  <si>
    <t>PETMATE12760</t>
  </si>
  <si>
    <t>PET MATE 12 micrones 760 mm</t>
  </si>
  <si>
    <t>PETMATE121120</t>
  </si>
  <si>
    <t>PET MATE 12 micrones 1120 mm</t>
  </si>
  <si>
    <t>PETM12470</t>
  </si>
  <si>
    <t>PET MET 12 micrones 470 mm</t>
  </si>
  <si>
    <t>PET MET 12 micrones 520 mm</t>
  </si>
  <si>
    <t>SPETM12520</t>
  </si>
  <si>
    <t>PET MET 12 micrones 520 mm reducido</t>
  </si>
  <si>
    <t>PETM12560</t>
  </si>
  <si>
    <t>PET MET 12 micrones 560 mm</t>
  </si>
  <si>
    <t>PET MET 12 micrones 620 mm</t>
  </si>
  <si>
    <t>PET MET 12 micrones 660 mmm</t>
  </si>
  <si>
    <t>SPETM12660</t>
  </si>
  <si>
    <t>PET MET 12 micrones 660 mm Reducido</t>
  </si>
  <si>
    <t>PPETM12660</t>
  </si>
  <si>
    <t>PET MET 12 micrones 660 mm Eco</t>
  </si>
  <si>
    <t>PETM12670</t>
  </si>
  <si>
    <t>PET MET 12 micrones 670 mm</t>
  </si>
  <si>
    <t>PETM12680</t>
  </si>
  <si>
    <t>PET MET 12 micrones 680 mm</t>
  </si>
  <si>
    <t>PET MET 12 micrones 720 mm.</t>
  </si>
  <si>
    <t>PETM12760</t>
  </si>
  <si>
    <t>PET MET 12 micrones 760 mm.</t>
  </si>
  <si>
    <t>SPETM12760</t>
  </si>
  <si>
    <t>PET MET 12 micrones 760 mm Reducido</t>
  </si>
  <si>
    <t>PPETM12760</t>
  </si>
  <si>
    <t>PET MET 12 micrones 760 mm Eco</t>
  </si>
  <si>
    <t>PETM12830</t>
  </si>
  <si>
    <t>PET MET 12 micrones 830 mm</t>
  </si>
  <si>
    <t>PETM12V</t>
  </si>
  <si>
    <t>PET MET 12 Micrones Varias Medias</t>
  </si>
  <si>
    <t>PETTWIST18580</t>
  </si>
  <si>
    <t>Pet Twist 18 micrones 580 mm</t>
  </si>
  <si>
    <t>PETTIWISTVAR</t>
  </si>
  <si>
    <t>PET TWIST 18 micrones Varias Medidas</t>
  </si>
  <si>
    <t>90BIHD720</t>
  </si>
  <si>
    <t>90 BIHD 720 mm.</t>
  </si>
  <si>
    <t>90BIHDV</t>
  </si>
  <si>
    <t>90 BIHD Varias Medidas</t>
  </si>
  <si>
    <t>PETB12520</t>
  </si>
  <si>
    <t>PET BARRERA 12 micrones 520 mm</t>
  </si>
  <si>
    <t>PETB12660</t>
  </si>
  <si>
    <t>PET BARRERA 12 micrones 660 mm</t>
  </si>
  <si>
    <t>PETB12720</t>
  </si>
  <si>
    <t>PET BARRERA 12 micrones 720 mm</t>
  </si>
  <si>
    <t>90BIHDM720</t>
  </si>
  <si>
    <t>90 BIHD-M 720 mm.</t>
  </si>
  <si>
    <t>90BIHDMV</t>
  </si>
  <si>
    <t>90 BIHD-M Varias Medidas</t>
  </si>
  <si>
    <t>PA15520</t>
  </si>
  <si>
    <t>Bopa 15 Micras 520 mm</t>
  </si>
  <si>
    <t>SPA15520</t>
  </si>
  <si>
    <t>Bopa 15 micras 520 mm reducido</t>
  </si>
  <si>
    <t>PA15620</t>
  </si>
  <si>
    <t>Bopa 15 Micras 620 mm</t>
  </si>
  <si>
    <t>SPA15620</t>
  </si>
  <si>
    <t>Bopa 15 Micras 620 mm Red</t>
  </si>
  <si>
    <t>PA15720</t>
  </si>
  <si>
    <t>Bopa 15 micras 720 mm.</t>
  </si>
  <si>
    <t>SPA15720</t>
  </si>
  <si>
    <t>Bopa 15 Micras 720 mm reducido</t>
  </si>
  <si>
    <t>PA15760</t>
  </si>
  <si>
    <t>Bopa 15 micras 760 mm</t>
  </si>
  <si>
    <t>PA15V</t>
  </si>
  <si>
    <t>Bopa 15 Micras Varias Medidas</t>
  </si>
  <si>
    <t>PAMET15660</t>
  </si>
  <si>
    <t>Bopa Metalizado 15 micras 660 mm</t>
  </si>
  <si>
    <t>POLIVAC</t>
  </si>
  <si>
    <t>Polivac Varias Medidas</t>
  </si>
  <si>
    <t>PAPE60770</t>
  </si>
  <si>
    <t>Bopa/PE 60 micras 770 mm</t>
  </si>
  <si>
    <t>PAPE80520</t>
  </si>
  <si>
    <t>Bopa/PE 80 micras 520 mm</t>
  </si>
  <si>
    <t>PAEVOHPE100520</t>
  </si>
  <si>
    <t>Bopa/EVOH/PE 100 micras 520 mm</t>
  </si>
  <si>
    <t>PAEVOHPE100660</t>
  </si>
  <si>
    <t>Bopa/EVOH/PE 100 micras 660 mm</t>
  </si>
  <si>
    <t>PAEVOHPP120660</t>
  </si>
  <si>
    <t>Bopa/EVOH/PP 120 micras 660 mm</t>
  </si>
  <si>
    <t>PAPANTIG32610</t>
  </si>
  <si>
    <t>Papel Antigrasa 32gr 610 mm</t>
  </si>
  <si>
    <t>PAPANTIG32900</t>
  </si>
  <si>
    <t>Papel Antigrasa 32gr 900 mm.</t>
  </si>
  <si>
    <t>PAP40800</t>
  </si>
  <si>
    <t>Papel Rocalonde 40 gr/m2 800 mm.</t>
  </si>
  <si>
    <t>PAP40900</t>
  </si>
  <si>
    <t>Papel Rocalonde 40 gr/m2 900 mm.</t>
  </si>
  <si>
    <t>PAPAG501000</t>
  </si>
  <si>
    <t>Papel Antigrada 50 micras 1000 mm</t>
  </si>
  <si>
    <t>PAP63740</t>
  </si>
  <si>
    <t>Papel Bond 63 gr/m2 740 mm</t>
  </si>
  <si>
    <t>PAP63V</t>
  </si>
  <si>
    <t>Papel Bond 63 Varias Medidas</t>
  </si>
  <si>
    <t>PAFIC60740</t>
  </si>
  <si>
    <t>Papel Afiche 60grs 740 mm</t>
  </si>
  <si>
    <t>PAFIC60370</t>
  </si>
  <si>
    <t>Papel Afiche 60 grs 370 mm</t>
  </si>
  <si>
    <t>PAP40/AL9/630M</t>
  </si>
  <si>
    <t>Papel/Aluminio/LDPE 630 mm</t>
  </si>
  <si>
    <t>PAP40/AL9/PELD</t>
  </si>
  <si>
    <t>Papel/Aluminio/LDPE 660 mm</t>
  </si>
  <si>
    <t>PAP40/AL9/740</t>
  </si>
  <si>
    <t>Papel/Aluminio/LDPE 740 mm</t>
  </si>
  <si>
    <t>PAP40/AL20/740</t>
  </si>
  <si>
    <t>Papel40/Aluminio20/LDPE35 740mm</t>
  </si>
  <si>
    <t>PAP50/AL9/740</t>
  </si>
  <si>
    <t>Papel50/Aluminio/LDPE 740 mm</t>
  </si>
  <si>
    <t>PAP40/AL9/VAR</t>
  </si>
  <si>
    <t>Papel/Aluminio/LDPE Varias medidas</t>
  </si>
  <si>
    <t>PAP40/PE20/420</t>
  </si>
  <si>
    <t>Papel Revestido 4020-420 mm</t>
  </si>
  <si>
    <t>PAP40/PE20/445</t>
  </si>
  <si>
    <t>Papel Revestido 4020-445 mm</t>
  </si>
  <si>
    <t>PAP40/PE20/575</t>
  </si>
  <si>
    <t>Papel Revestido 4020-575 mm</t>
  </si>
  <si>
    <t>PAP40/PE20/580</t>
  </si>
  <si>
    <t>Papel Revestido 4020-580mm</t>
  </si>
  <si>
    <t>PAP40/PE20/600</t>
  </si>
  <si>
    <t>Papel Revestido 4020-600 mm</t>
  </si>
  <si>
    <t>PAP40/PE10/620</t>
  </si>
  <si>
    <t>Papel revestido 4010- 620mm</t>
  </si>
  <si>
    <t>PAP40/PE20/620</t>
  </si>
  <si>
    <t>Papel revestido 4020NE 620mm</t>
  </si>
  <si>
    <t>PAP40/PE20/700</t>
  </si>
  <si>
    <t>Papel Revestido 4020-700mm</t>
  </si>
  <si>
    <t>PAP40/PE20/740</t>
  </si>
  <si>
    <t>Papel Revestido 4020-740mm</t>
  </si>
  <si>
    <t>PAP40\PE10\770</t>
  </si>
  <si>
    <t>Papel Revestido 4010 - 770 mm</t>
  </si>
  <si>
    <t>PAP40/PE20/VAR</t>
  </si>
  <si>
    <t>Papel Revestido 4020 Varias medidas</t>
  </si>
  <si>
    <t>TERM1595</t>
  </si>
  <si>
    <t>Parafina para Papel</t>
  </si>
  <si>
    <t>Masterbach Blanco</t>
  </si>
  <si>
    <t>MB07</t>
  </si>
  <si>
    <t>Masterbach Naranja</t>
  </si>
  <si>
    <t>BICARBONATO</t>
  </si>
  <si>
    <t>Bicarbonato de Sodio CT 208</t>
  </si>
  <si>
    <t>MB10</t>
  </si>
  <si>
    <t>Masterbach Rojo</t>
  </si>
  <si>
    <t>MB12</t>
  </si>
  <si>
    <t>Masterbach Azul</t>
  </si>
  <si>
    <t>MB34</t>
  </si>
  <si>
    <t>Masterbach Negro</t>
  </si>
  <si>
    <t>MB35</t>
  </si>
  <si>
    <t>Masterbach Amarillo</t>
  </si>
  <si>
    <t>TSBLAN1</t>
  </si>
  <si>
    <t>Tinta Blanca Superficie</t>
  </si>
  <si>
    <t>TSAMAR1</t>
  </si>
  <si>
    <t>Tinta Amarilla Superficie</t>
  </si>
  <si>
    <t>AMARCRO</t>
  </si>
  <si>
    <t>Tinta Amarillo Cromo Superficie</t>
  </si>
  <si>
    <t>TSFPAMA1</t>
  </si>
  <si>
    <t>Tinta Flexilam Amarillo Superficie</t>
  </si>
  <si>
    <t>TSNARA1</t>
  </si>
  <si>
    <t>Tinta Naranja Superficie</t>
  </si>
  <si>
    <t>TWNARA19</t>
  </si>
  <si>
    <t>Tinta Naranja Windsor</t>
  </si>
  <si>
    <t>TWBEIGE20</t>
  </si>
  <si>
    <t>Tinta Beige Windsor (Trimate)</t>
  </si>
  <si>
    <t>TSROJA1</t>
  </si>
  <si>
    <t>Tinta Roja Medio Superficie</t>
  </si>
  <si>
    <t>TSROJA2</t>
  </si>
  <si>
    <t>Tinta Roja Escarlata Superficie</t>
  </si>
  <si>
    <t>TWROJO19</t>
  </si>
  <si>
    <t>Tinta Roja Windsor</t>
  </si>
  <si>
    <t>TSRUBI1</t>
  </si>
  <si>
    <t>Tinta Rubine Red Superficie</t>
  </si>
  <si>
    <t>TSRODA1</t>
  </si>
  <si>
    <t>Tinta Rhodamine Red Superficie</t>
  </si>
  <si>
    <t>TSPURP1</t>
  </si>
  <si>
    <t>Tinta P£rpura Superficie</t>
  </si>
  <si>
    <t>TSVIOL1</t>
  </si>
  <si>
    <t>Tinta Violeta Superficie</t>
  </si>
  <si>
    <t>TSAZUL1</t>
  </si>
  <si>
    <t>Tinta Azul Superficie Oscuro</t>
  </si>
  <si>
    <t>TSAZREF1</t>
  </si>
  <si>
    <t>Tinta Azul Reflex Superficie</t>
  </si>
  <si>
    <t>TSVERD1</t>
  </si>
  <si>
    <t>Tinta Verde Superficie</t>
  </si>
  <si>
    <t>TSNEGR1</t>
  </si>
  <si>
    <t>Tinta Negra Superficie</t>
  </si>
  <si>
    <t>TSRNEGR1</t>
  </si>
  <si>
    <t>TINTA ROTOCHEM NEGRA SUPERFICIE</t>
  </si>
  <si>
    <t>TSFNEGR1</t>
  </si>
  <si>
    <t>Tinta Flexilam Negra Superficie</t>
  </si>
  <si>
    <t>TWNEGR19</t>
  </si>
  <si>
    <t>Tinta Negra Windsor</t>
  </si>
  <si>
    <t>TSPAMA1</t>
  </si>
  <si>
    <t>Tinta Amarilla Process Superficie</t>
  </si>
  <si>
    <t>TWPAMA19</t>
  </si>
  <si>
    <t>Tinta Amarillo Process Windsor</t>
  </si>
  <si>
    <t>TSPMAG1</t>
  </si>
  <si>
    <t>Tinta Magenta Process Superficie</t>
  </si>
  <si>
    <t>TSFMAG1</t>
  </si>
  <si>
    <t>Tinta Flexilam Magenta Superficie</t>
  </si>
  <si>
    <t>TSPCYAN1</t>
  </si>
  <si>
    <t>Tinta Cyan Process Superficie</t>
  </si>
  <si>
    <t>TSFCYAN1</t>
  </si>
  <si>
    <t>Tinta Flexilam Cyan Superficie</t>
  </si>
  <si>
    <t>TWCYAN19</t>
  </si>
  <si>
    <t>Tinta Cyan Process Windsor</t>
  </si>
  <si>
    <t>TSORO1</t>
  </si>
  <si>
    <t>Tinta Oro Superficie</t>
  </si>
  <si>
    <t>TSPLAT1</t>
  </si>
  <si>
    <t>Tinta Plata Superficie</t>
  </si>
  <si>
    <t>TSVAR</t>
  </si>
  <si>
    <t>Tintas Varias Superficie</t>
  </si>
  <si>
    <t>TSHNEGRO</t>
  </si>
  <si>
    <t>Tinta Hi Tone Negro Superficie</t>
  </si>
  <si>
    <t>TSHAMAR</t>
  </si>
  <si>
    <t>Tinta Hi Tone Amarillo Superficie</t>
  </si>
  <si>
    <t>TSHMAG</t>
  </si>
  <si>
    <t>Tinta Hi Tone Magenta Superficie</t>
  </si>
  <si>
    <t>TSHCYAN</t>
  </si>
  <si>
    <t>Tinta Hi Tone Cyan Superficie</t>
  </si>
  <si>
    <t>TLHNEGRO</t>
  </si>
  <si>
    <t>Tinta Hi Tone Negro Laminacion</t>
  </si>
  <si>
    <t>TLHAMAPRO</t>
  </si>
  <si>
    <t>Tinta Hi Tone Amarillo Proc Laminacion</t>
  </si>
  <si>
    <t>TLHMAG</t>
  </si>
  <si>
    <t>Tinta Hi Tone Magenta Laminacion</t>
  </si>
  <si>
    <t>TLHCYAN</t>
  </si>
  <si>
    <t>Tinta Hi Tone Cyan Laminacion</t>
  </si>
  <si>
    <t>TLBLAN1</t>
  </si>
  <si>
    <t>Tinta Blanca Laminaci¢n</t>
  </si>
  <si>
    <t>TLFBLAN1</t>
  </si>
  <si>
    <t>Tinta Flexilam Blanca Laminacion</t>
  </si>
  <si>
    <t>TLLPBLAN1</t>
  </si>
  <si>
    <t>Tinta LamiPet Blanca Laminacion</t>
  </si>
  <si>
    <t>TLPPAMAR1</t>
  </si>
  <si>
    <t>Tinta PoliPrint 3.0 Amarillo Laminacion</t>
  </si>
  <si>
    <t>TLAMAR2</t>
  </si>
  <si>
    <t>Tinta Amarillo Cromo Laminaci¢n</t>
  </si>
  <si>
    <t>TLPPMAG1</t>
  </si>
  <si>
    <t>Tinta Laminacion Poliprint Magenta</t>
  </si>
  <si>
    <t>TLPNEGR1</t>
  </si>
  <si>
    <t>Tinta Laminacion Poliprint Negra</t>
  </si>
  <si>
    <t>TLPPCYAN</t>
  </si>
  <si>
    <t>TINTA LAMINACION POLIPRINT CYAN</t>
  </si>
  <si>
    <t>TLNARA1</t>
  </si>
  <si>
    <t>Tinta Naranja Chizito</t>
  </si>
  <si>
    <t>TLROJA1</t>
  </si>
  <si>
    <t>Tinta Roja Medio Laminaci¢n</t>
  </si>
  <si>
    <t>TLROJA2</t>
  </si>
  <si>
    <t>Tinta Roja Escarlata Laminaci¢n</t>
  </si>
  <si>
    <t>TLRUBI1</t>
  </si>
  <si>
    <t>Tinta Rubine Red Laminaci¢n</t>
  </si>
  <si>
    <t>TLRODA1</t>
  </si>
  <si>
    <t>Tinta Rhodamine Red Laminaci¢n</t>
  </si>
  <si>
    <t>TLPURP1</t>
  </si>
  <si>
    <t>Tinta P£rpura Laminaci¢n</t>
  </si>
  <si>
    <t>TLVIOL1</t>
  </si>
  <si>
    <t>Tinta Violeta Laminaci¢n</t>
  </si>
  <si>
    <t>TLAZUL1</t>
  </si>
  <si>
    <t>Tinta Azul Laminaci¢n</t>
  </si>
  <si>
    <t>TLAZUL2</t>
  </si>
  <si>
    <t>Tinta Azul Pipoquim</t>
  </si>
  <si>
    <t>TLDARK1</t>
  </si>
  <si>
    <t>Tinta Darck Blue Laminacion</t>
  </si>
  <si>
    <t>TLAZREF1</t>
  </si>
  <si>
    <t>Tinta Azul Reflex Laminaci¢n</t>
  </si>
  <si>
    <t>TLVERD1</t>
  </si>
  <si>
    <t>Tinta Verde Laminaci¢n</t>
  </si>
  <si>
    <t>TLNEGR1</t>
  </si>
  <si>
    <t>Tinta Negra Laminaci¢n</t>
  </si>
  <si>
    <t>TLFNEGR1</t>
  </si>
  <si>
    <t>Tinta Flexilam Negra Laminacion</t>
  </si>
  <si>
    <t>TLPAMA1</t>
  </si>
  <si>
    <t>Tinta Amarilla Process Laminaci¢n</t>
  </si>
  <si>
    <t>TLFPAMA1</t>
  </si>
  <si>
    <t>Tinta Fleximan Amarilla Laminacion</t>
  </si>
  <si>
    <t>TLMPAMA1</t>
  </si>
  <si>
    <t>Tinta Megafull Amarillo Process Laminaci¢n</t>
  </si>
  <si>
    <t>TLPMAG1</t>
  </si>
  <si>
    <t>Tinta Magenta Process Laminaci¢n</t>
  </si>
  <si>
    <t>TLFMAG1</t>
  </si>
  <si>
    <t>Tinta Flexilam Magente Laminacion</t>
  </si>
  <si>
    <t>TLPCYAN1</t>
  </si>
  <si>
    <t>Tinta Cyan Process Laminaci¢n</t>
  </si>
  <si>
    <t>TLFCYAN1</t>
  </si>
  <si>
    <t>Tinta Flexilam Cyan Laminacion</t>
  </si>
  <si>
    <t>TLORO1</t>
  </si>
  <si>
    <t>Tinta Oro Laminaci¢n</t>
  </si>
  <si>
    <t>TLPLAT1</t>
  </si>
  <si>
    <t>Tinta Plata Laminaci¢n</t>
  </si>
  <si>
    <t>TLVAR</t>
  </si>
  <si>
    <t>Tintas Varias Laminaci¢n</t>
  </si>
  <si>
    <t>TSAMAG1</t>
  </si>
  <si>
    <t>Tinta Antiper¢xido Magenta Superficie</t>
  </si>
  <si>
    <t>TSACYAN1</t>
  </si>
  <si>
    <t>Tinta Antiper¢xido Cyan Superficie</t>
  </si>
  <si>
    <t>TSANEGR1</t>
  </si>
  <si>
    <t>Tinta Antiper¢xido Negro Superficie</t>
  </si>
  <si>
    <t>TSAAMA1</t>
  </si>
  <si>
    <t>Tinta Antiper¢xido Amarillo Superficie</t>
  </si>
  <si>
    <t>TSABLAN1</t>
  </si>
  <si>
    <t>Tinta Antiper¢xido Blanca Superficie</t>
  </si>
  <si>
    <t>TSAAZREF1</t>
  </si>
  <si>
    <t>Tinta Antiperoxido Azul Reflex Superficie</t>
  </si>
  <si>
    <t>EXTSUP</t>
  </si>
  <si>
    <t>Extender Flexo Superficie</t>
  </si>
  <si>
    <t>EXTLAM</t>
  </si>
  <si>
    <t>Extender Flexo Laminaci¢n</t>
  </si>
  <si>
    <t>EXTROT</t>
  </si>
  <si>
    <t>Extender Roto</t>
  </si>
  <si>
    <t>EXTPPLAM</t>
  </si>
  <si>
    <t>Extender PoliPrint Laminacion</t>
  </si>
  <si>
    <t>PRIMER</t>
  </si>
  <si>
    <t>Primer</t>
  </si>
  <si>
    <t>LACA</t>
  </si>
  <si>
    <t>Laca</t>
  </si>
  <si>
    <t>BARMAT</t>
  </si>
  <si>
    <t>Barniz Mate</t>
  </si>
  <si>
    <t>TLBASECYAN1</t>
  </si>
  <si>
    <t>Base Tinta Laminacion Cyan MP905</t>
  </si>
  <si>
    <t>TLBASEAMAR1</t>
  </si>
  <si>
    <t>Base Tinta Laminacion Amarillo MP 905</t>
  </si>
  <si>
    <t>TLBASEMAGE1</t>
  </si>
  <si>
    <t>Base Tinta Laminacion Magenta MO 907</t>
  </si>
  <si>
    <t>TLBASENEGR1</t>
  </si>
  <si>
    <t>Base Tinta Laminaci¢n Negro MP 901</t>
  </si>
  <si>
    <t>IPA</t>
  </si>
  <si>
    <t>Alcohol Isoprop¡lico</t>
  </si>
  <si>
    <t>SOLTIN</t>
  </si>
  <si>
    <t>Solvente para tintas</t>
  </si>
  <si>
    <t>ETANOL</t>
  </si>
  <si>
    <t>Alcohol Et¡lico</t>
  </si>
  <si>
    <t>PROPANOL</t>
  </si>
  <si>
    <t>Alcohol Propil Normal</t>
  </si>
  <si>
    <t>METANOL</t>
  </si>
  <si>
    <t>Metanol</t>
  </si>
  <si>
    <t>BUTANOL</t>
  </si>
  <si>
    <t>Butanol</t>
  </si>
  <si>
    <t>DOP</t>
  </si>
  <si>
    <t>ACETATO</t>
  </si>
  <si>
    <t>Acetato de Etilo</t>
  </si>
  <si>
    <t>ACEPROP</t>
  </si>
  <si>
    <t>Acetato Propil Normal</t>
  </si>
  <si>
    <t>REDUCTOR A</t>
  </si>
  <si>
    <t>Reductor A</t>
  </si>
  <si>
    <t>PERCLORO</t>
  </si>
  <si>
    <t>Percloroetileno</t>
  </si>
  <si>
    <t>SOLCLIS</t>
  </si>
  <si>
    <t>Solvente lavado clis‚s</t>
  </si>
  <si>
    <t>ADITA</t>
  </si>
  <si>
    <t>Aditivo A</t>
  </si>
  <si>
    <t>ADITB</t>
  </si>
  <si>
    <t>Aditivo B</t>
  </si>
  <si>
    <t>ADITC</t>
  </si>
  <si>
    <t>Aditivo C</t>
  </si>
  <si>
    <t>RECLEAN</t>
  </si>
  <si>
    <t>Recyl Clean</t>
  </si>
  <si>
    <t>RECYLCLEAN</t>
  </si>
  <si>
    <t>Recyl Clean 2000</t>
  </si>
  <si>
    <t>DOWAN</t>
  </si>
  <si>
    <t>Dowanol</t>
  </si>
  <si>
    <t>ETOXI</t>
  </si>
  <si>
    <t>Etoxi Propanol</t>
  </si>
  <si>
    <t>DILUYENTE</t>
  </si>
  <si>
    <t>Diluyente Flexografico</t>
  </si>
  <si>
    <t>PROACET</t>
  </si>
  <si>
    <t>Proacet</t>
  </si>
  <si>
    <t>ADHPOLI</t>
  </si>
  <si>
    <t>Adhesivo Poliuretano</t>
  </si>
  <si>
    <t>ADHRETI</t>
  </si>
  <si>
    <t>Adhesivo Reticulante sin Solvente</t>
  </si>
  <si>
    <t>ADHCORR</t>
  </si>
  <si>
    <t>Adhesivo Correactant C-83</t>
  </si>
  <si>
    <t>FP170</t>
  </si>
  <si>
    <t>Fotopol¡mero de 1,70 mm</t>
  </si>
  <si>
    <t>FP254</t>
  </si>
  <si>
    <t>Fotopol¡mero de 2.54 mm</t>
  </si>
  <si>
    <t>FP284</t>
  </si>
  <si>
    <t>Fotopol¡mero de 2.84 mm</t>
  </si>
  <si>
    <t>DF12</t>
  </si>
  <si>
    <t>Doble Faz .12 mm</t>
  </si>
  <si>
    <t>DF38</t>
  </si>
  <si>
    <t>Doble Faz .38 mm.</t>
  </si>
  <si>
    <t>DF30</t>
  </si>
  <si>
    <t>Doble Faz 0.30 m</t>
  </si>
  <si>
    <t>DFBD50</t>
  </si>
  <si>
    <t>Doble Faz Acolchado Baja Densidad .50 mm</t>
  </si>
  <si>
    <t>DFMD50</t>
  </si>
  <si>
    <t>Doble Faz Acolchado Media Densidad .50 mm</t>
  </si>
  <si>
    <t>DFAD50</t>
  </si>
  <si>
    <t>Doble Faz Acolchado Alta Densidad .50 mm</t>
  </si>
  <si>
    <t>CADHT</t>
  </si>
  <si>
    <t>Cinta Adhesiva Transparente 2"</t>
  </si>
  <si>
    <t>CADHR</t>
  </si>
  <si>
    <t>Cinta Adhesiva Rojo 2"</t>
  </si>
  <si>
    <t>CADHV</t>
  </si>
  <si>
    <t>Cinta Adhesiva Verde 2"</t>
  </si>
  <si>
    <t>CADHC</t>
  </si>
  <si>
    <t>Cinta Adhesiva Canela 2"</t>
  </si>
  <si>
    <t>CADHTP</t>
  </si>
  <si>
    <t>Tesa Film Cinta de Embalaje 66Mx12mm (scotch</t>
  </si>
  <si>
    <t>TS4323</t>
  </si>
  <si>
    <t>Cinta Adhesiva Tesakrep</t>
  </si>
  <si>
    <t>SFILM</t>
  </si>
  <si>
    <t>Streth Film</t>
  </si>
  <si>
    <t>PELI40</t>
  </si>
  <si>
    <t>Rollo de pel¡cula 40 cm x 60 mt.</t>
  </si>
  <si>
    <t>PELI83.80</t>
  </si>
  <si>
    <t>Rollo de Pelicula HNM 83.80 x 60</t>
  </si>
  <si>
    <t>PELI50.80</t>
  </si>
  <si>
    <t>Rollo de Pelicula HNM 50.80 x 60</t>
  </si>
  <si>
    <t>PELI59</t>
  </si>
  <si>
    <t>Rollo de pel¡cula 30.5 cm x 60 mt.</t>
  </si>
  <si>
    <t>REVELA</t>
  </si>
  <si>
    <t>Revelador para pel¡culas</t>
  </si>
  <si>
    <t>FIJADOR</t>
  </si>
  <si>
    <t>Fijador para pel¡culas</t>
  </si>
  <si>
    <t>PA¥AZ</t>
  </si>
  <si>
    <t>Pa¤os Azules</t>
  </si>
  <si>
    <t>ZIPPER PE</t>
  </si>
  <si>
    <t>Zipper PE para Bolsas</t>
  </si>
  <si>
    <t>ZIPPER PP</t>
  </si>
  <si>
    <t>Zipper PP para Bolsas</t>
  </si>
  <si>
    <t>VALCOR10</t>
  </si>
  <si>
    <t>Valvula Corner 10 mm</t>
  </si>
  <si>
    <t>VALCEN8</t>
  </si>
  <si>
    <t>Valvula Central 8 mm</t>
  </si>
  <si>
    <t>VALCAFE20</t>
  </si>
  <si>
    <t>Valvula de gas para caf‚ 20 mm</t>
  </si>
  <si>
    <t>ETIQSIMSA250G</t>
  </si>
  <si>
    <t>Etiquetas Simsa 250 g 20x30mm</t>
  </si>
  <si>
    <t>ETIQSICOMSUR</t>
  </si>
  <si>
    <t>Etiquetas Sicomsur S/I 5x5cn</t>
  </si>
  <si>
    <t>Scrap pl stico</t>
  </si>
  <si>
    <t>Rasqueta Recta Flexolife 40.0 * 0.20 mm</t>
  </si>
  <si>
    <t>Cuchillas CEELO Hoja Canto Redondo 0.4x60 mm</t>
  </si>
  <si>
    <t>Rasqueta Recta Longlife 40.0 * 0.20 mm</t>
  </si>
  <si>
    <t>MT</t>
  </si>
  <si>
    <t>UND</t>
  </si>
  <si>
    <t>VALVULAS</t>
  </si>
  <si>
    <t>MAQ:</t>
  </si>
  <si>
    <t>F4</t>
  </si>
  <si>
    <t>mp a</t>
  </si>
  <si>
    <t>mp b</t>
  </si>
  <si>
    <t>mp c</t>
  </si>
  <si>
    <t>kg</t>
  </si>
  <si>
    <t>und</t>
  </si>
  <si>
    <t>mt</t>
  </si>
  <si>
    <t>Calesita</t>
  </si>
  <si>
    <t>china</t>
  </si>
  <si>
    <t>bolsas</t>
  </si>
  <si>
    <t>LDPE BRASKEM</t>
  </si>
  <si>
    <t>bopp20515</t>
  </si>
  <si>
    <t>bopp20520</t>
  </si>
  <si>
    <t>CU</t>
  </si>
  <si>
    <t>EL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</si>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</sst>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4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2" borderId="0" xfId="0" applyFont="1" applyFill="1"/>
    <xf numFmtId="4" fontId="1" fillId="2" borderId="0" xfId="0" applyNumberFormat="1" applyFont="1" applyFill="1" applyProtection="1">
      <protection hidden="1"/>
    </xf>
    <xf numFmtId="4" fontId="2" fillId="2" borderId="3" xfId="0" applyNumberFormat="1" applyFont="1" applyFill="1" applyBorder="1" applyAlignment="1" applyProtection="1">
      <alignment horizontal="centerContinuous"/>
      <protection hidden="1"/>
    </xf>
    <xf numFmtId="0" fontId="2" fillId="2" borderId="5" xfId="0" applyFont="1" applyFill="1" applyBorder="1" applyAlignment="1" applyProtection="1">
      <alignment horizontal="center"/>
      <protection hidden="1"/>
    </xf>
    <xf numFmtId="0" fontId="2" fillId="2" borderId="4" xfId="0" applyFont="1" applyFill="1" applyBorder="1" applyProtection="1">
      <protection hidden="1"/>
    </xf>
    <xf numFmtId="0" fontId="2" fillId="2" borderId="6" xfId="0" applyFont="1" applyFill="1" applyBorder="1" applyAlignment="1" applyProtection="1">
      <alignment horizontal="center"/>
      <protection hidden="1"/>
    </xf>
    <xf numFmtId="0" fontId="1" fillId="2" borderId="0" xfId="0" applyFont="1" applyFill="1" applyProtection="1">
      <protection hidden="1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/>
    </xf>
    <xf numFmtId="164" fontId="2" fillId="3" borderId="7" xfId="0" applyNumberFormat="1" applyFont="1" applyFill="1" applyBorder="1"/>
    <xf numFmtId="0" fontId="2" fillId="3" borderId="7" xfId="0" applyFont="1" applyFill="1" applyBorder="1" applyAlignment="1">
      <alignment horizontal="center"/>
    </xf>
    <xf numFmtId="0" fontId="2" fillId="3" borderId="7" xfId="0" applyFont="1" applyFill="1" applyBorder="1"/>
    <xf numFmtId="4" fontId="2" fillId="3" borderId="3" xfId="0" applyNumberFormat="1" applyFont="1" applyFill="1" applyBorder="1" applyAlignment="1">
      <alignment horizontal="centerContinuous"/>
    </xf>
    <xf numFmtId="4" fontId="2" fillId="3" borderId="4" xfId="0" applyNumberFormat="1" applyFont="1" applyFill="1" applyBorder="1" applyAlignment="1">
      <alignment horizontal="centerContinuous"/>
    </xf>
    <xf numFmtId="4" fontId="2" fillId="3" borderId="2" xfId="0" applyNumberFormat="1" applyFont="1" applyFill="1" applyBorder="1" applyAlignment="1">
      <alignment horizontal="centerContinuous"/>
    </xf>
    <xf numFmtId="0" fontId="2" fillId="3" borderId="1" xfId="0" applyFont="1" applyFill="1" applyBorder="1" applyAlignment="1">
      <alignment horizontal="center"/>
    </xf>
    <xf numFmtId="4" fontId="1" fillId="0" borderId="0" xfId="0" applyNumberFormat="1" applyFont="1" applyProtection="1">
      <protection hidden="1"/>
    </xf>
    <xf numFmtId="0" fontId="1" fillId="0" borderId="0" xfId="0" applyFont="1" applyProtection="1">
      <protection hidden="1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" fontId="1" fillId="4" borderId="0" xfId="0" applyNumberFormat="1" applyFont="1" applyFill="1"/>
    <xf numFmtId="14" fontId="0" fillId="0" borderId="0" xfId="0" applyNumberFormat="1"/>
    <xf numFmtId="14" fontId="6" fillId="0" borderId="0" xfId="0" applyNumberFormat="1" applyFont="1"/>
    <xf numFmtId="0" fontId="6" fillId="0" borderId="0" xfId="0" applyFont="1"/>
    <xf numFmtId="0" fontId="0" fillId="4" borderId="0" xfId="0" applyFill="1"/>
    <xf numFmtId="164" fontId="7" fillId="5" borderId="0" xfId="0" applyNumberFormat="1" applyFont="1" applyFill="1" applyAlignment="1">
      <alignment horizontal="center"/>
    </xf>
    <xf numFmtId="1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4" fontId="7" fillId="2" borderId="0" xfId="0" applyNumberFormat="1" applyFont="1" applyFill="1"/>
    <xf numFmtId="4" fontId="7" fillId="5" borderId="0" xfId="0" applyNumberFormat="1" applyFont="1" applyFill="1" applyAlignment="1">
      <alignment horizontal="right"/>
    </xf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14" fontId="7" fillId="7" borderId="0" xfId="0" applyNumberFormat="1" applyFont="1" applyFill="1" applyAlignment="1">
      <alignment horizontal="center"/>
    </xf>
    <xf numFmtId="0" fontId="7" fillId="7" borderId="0" xfId="0" applyFont="1" applyFill="1"/>
    <xf numFmtId="0" fontId="8" fillId="7" borderId="0" xfId="0" applyFont="1" applyFill="1" applyAlignment="1">
      <alignment horizontal="center"/>
    </xf>
    <xf numFmtId="4" fontId="7" fillId="7" borderId="0" xfId="0" applyNumberFormat="1" applyFont="1" applyFill="1" applyAlignment="1">
      <alignment horizontal="right"/>
    </xf>
    <xf numFmtId="4" fontId="7" fillId="7" borderId="0" xfId="0" applyNumberFormat="1" applyFont="1" applyFill="1" applyAlignment="1">
      <alignment horizontal="center"/>
    </xf>
    <xf numFmtId="4" fontId="7" fillId="7" borderId="0" xfId="0" applyNumberFormat="1" applyFont="1" applyFill="1"/>
    <xf numFmtId="0" fontId="7" fillId="0" borderId="0" xfId="0" applyFont="1"/>
    <xf numFmtId="0" fontId="9" fillId="0" borderId="0" xfId="0" applyFont="1"/>
    <xf numFmtId="164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0" fillId="3" borderId="8" xfId="0" applyNumberFormat="1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center"/>
    </xf>
    <xf numFmtId="4" fontId="2" fillId="4" borderId="8" xfId="0" applyNumberFormat="1" applyFont="1" applyFill="1" applyBorder="1" applyAlignment="1">
      <alignment horizontal="center"/>
    </xf>
    <xf numFmtId="0" fontId="10" fillId="3" borderId="7" xfId="0" applyFont="1" applyFill="1" applyBorder="1"/>
    <xf numFmtId="164" fontId="11" fillId="0" borderId="0" xfId="0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4" fontId="11" fillId="0" borderId="0" xfId="0" applyNumberFormat="1" applyFont="1"/>
    <xf numFmtId="4" fontId="11" fillId="0" borderId="0" xfId="0" applyNumberFormat="1" applyFont="1" applyProtection="1">
      <protection hidden="1"/>
    </xf>
    <xf numFmtId="4" fontId="1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1</xdr:row>
      <xdr:rowOff>38100</xdr:rowOff>
    </xdr:from>
    <xdr:to>
      <xdr:col>2</xdr:col>
      <xdr:colOff>178526</xdr:colOff>
      <xdr:row>1</xdr:row>
      <xdr:rowOff>514350</xdr:rowOff>
    </xdr:to>
    <xdr:pic>
      <xdr:nvPicPr>
        <xdr:cNvPr id="2" name="2 Imagen" descr="C:\Users\RMendoza\Desktop\descarga.jpg">
          <a:extLst>
            <a:ext uri="{FF2B5EF4-FFF2-40B4-BE49-F238E27FC236}">
              <a16:creationId xmlns:a16="http://schemas.microsoft.com/office/drawing/2014/main" id="{7A7EB2BE-2445-40DC-ADC0-EA0218106E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167640"/>
          <a:ext cx="55626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1</xdr:row>
      <xdr:rowOff>38100</xdr:rowOff>
    </xdr:from>
    <xdr:to>
      <xdr:col>2</xdr:col>
      <xdr:colOff>60960</xdr:colOff>
      <xdr:row>1</xdr:row>
      <xdr:rowOff>514350</xdr:rowOff>
    </xdr:to>
    <xdr:pic>
      <xdr:nvPicPr>
        <xdr:cNvPr id="2" name="2 Imagen" descr="C:\Users\RMendoza\Desktop\descarga.jpg">
          <a:extLst>
            <a:ext uri="{FF2B5EF4-FFF2-40B4-BE49-F238E27FC236}">
              <a16:creationId xmlns:a16="http://schemas.microsoft.com/office/drawing/2014/main" id="{CD028FA6-F0B1-4A43-A98B-AA9C67B328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167640"/>
          <a:ext cx="55626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C0B0-A699-4C16-8347-2D55131C91FD}">
  <sheetPr codeName="Hoja1"/>
  <dimension ref="A1:AF42"/>
  <sheetViews>
    <sheetView zoomScale="175" zoomScaleNormal="175" workbookViewId="0">
      <pane xSplit="9" ySplit="5" topLeftCell="J6" activePane="bottomRight" state="frozen"/>
      <selection pane="topRight" activeCell="I1" sqref="I1"/>
      <selection pane="bottomLeft" activeCell="A6" sqref="A6"/>
      <selection pane="bottomRight" activeCell="N11" sqref="N11"/>
    </sheetView>
  </sheetViews>
  <sheetFormatPr baseColWidth="10" defaultRowHeight="10.199999999999999" x14ac:dyDescent="0.2"/>
  <cols>
    <col min="1" max="1" width="8.77734375" style="5" bestFit="1" customWidth="1"/>
    <col min="2" max="2" width="3.88671875" style="5" customWidth="1"/>
    <col min="3" max="3" width="5.5546875" style="6" customWidth="1"/>
    <col min="4" max="4" width="9.6640625" style="4" customWidth="1"/>
    <col min="5" max="5" width="9.21875" style="4" customWidth="1"/>
    <col min="6" max="6" width="8.5546875" style="4" bestFit="1" customWidth="1"/>
    <col min="7" max="7" width="10.21875" style="4" customWidth="1"/>
    <col min="8" max="8" width="10.21875" style="1" customWidth="1"/>
    <col min="9" max="9" width="11.5546875" style="4"/>
    <col min="10" max="24" width="5.109375" style="1" customWidth="1"/>
    <col min="25" max="25" width="7.109375" style="8" bestFit="1" customWidth="1"/>
    <col min="26" max="30" width="5.6640625" style="1" customWidth="1"/>
    <col min="31" max="31" width="7" style="13" bestFit="1" customWidth="1"/>
    <col min="32" max="32" width="11.33203125" style="7" bestFit="1" customWidth="1"/>
    <col min="33" max="16384" width="11.5546875" style="4"/>
  </cols>
  <sheetData>
    <row r="1" spans="1:32" x14ac:dyDescent="0.2">
      <c r="Y1" s="23"/>
      <c r="AE1" s="24"/>
      <c r="AF1" s="4"/>
    </row>
    <row r="2" spans="1:32" s="26" customFormat="1" ht="42.6" customHeight="1" x14ac:dyDescent="0.3">
      <c r="A2" s="48"/>
      <c r="B2" s="48"/>
      <c r="C2" s="48"/>
      <c r="D2" s="48"/>
      <c r="E2" s="25"/>
      <c r="F2" s="50" t="s">
        <v>19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49" t="s">
        <v>20</v>
      </c>
      <c r="AA2" s="49"/>
      <c r="AB2" s="49"/>
      <c r="AC2" s="49" t="s">
        <v>21</v>
      </c>
      <c r="AD2" s="49"/>
      <c r="AE2" s="49"/>
      <c r="AF2" s="49"/>
    </row>
    <row r="3" spans="1:32" x14ac:dyDescent="0.2">
      <c r="Y3" s="23"/>
      <c r="AE3" s="24"/>
      <c r="AF3" s="4"/>
    </row>
    <row r="4" spans="1:32" s="3" customFormat="1" ht="10.199999999999999" customHeight="1" x14ac:dyDescent="0.25">
      <c r="A4" s="16"/>
      <c r="B4" s="16"/>
      <c r="C4" s="17"/>
      <c r="D4" s="18"/>
      <c r="E4" s="18"/>
      <c r="F4" s="18"/>
      <c r="G4" s="18"/>
      <c r="H4" s="53" t="s">
        <v>25</v>
      </c>
      <c r="I4" s="55"/>
      <c r="J4" s="19" t="s">
        <v>2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9"/>
      <c r="Z4" s="21" t="s">
        <v>3</v>
      </c>
      <c r="AA4" s="19"/>
      <c r="AB4" s="19"/>
      <c r="AC4" s="19"/>
      <c r="AD4" s="20"/>
      <c r="AE4" s="11"/>
      <c r="AF4" s="14"/>
    </row>
    <row r="5" spans="1:32" s="2" customFormat="1" ht="12" x14ac:dyDescent="0.25">
      <c r="A5" s="51" t="s">
        <v>0</v>
      </c>
      <c r="B5" s="51" t="s">
        <v>1207</v>
      </c>
      <c r="C5" s="52" t="s">
        <v>4</v>
      </c>
      <c r="D5" s="52" t="s">
        <v>7</v>
      </c>
      <c r="E5" s="52" t="s">
        <v>23</v>
      </c>
      <c r="F5" s="52" t="s">
        <v>18</v>
      </c>
      <c r="G5" s="52" t="s">
        <v>22</v>
      </c>
      <c r="H5" s="54" t="s">
        <v>24</v>
      </c>
      <c r="I5" s="52" t="s">
        <v>1</v>
      </c>
      <c r="J5" s="22">
        <v>1</v>
      </c>
      <c r="K5" s="22">
        <v>2</v>
      </c>
      <c r="L5" s="22">
        <v>3</v>
      </c>
      <c r="M5" s="22">
        <v>4</v>
      </c>
      <c r="N5" s="22">
        <v>5</v>
      </c>
      <c r="O5" s="22">
        <v>6</v>
      </c>
      <c r="P5" s="22">
        <v>7</v>
      </c>
      <c r="Q5" s="22">
        <v>8</v>
      </c>
      <c r="R5" s="22">
        <v>9</v>
      </c>
      <c r="S5" s="22">
        <v>10</v>
      </c>
      <c r="T5" s="22">
        <v>11</v>
      </c>
      <c r="U5" s="22">
        <v>12</v>
      </c>
      <c r="V5" s="22">
        <v>13</v>
      </c>
      <c r="W5" s="22">
        <v>14</v>
      </c>
      <c r="X5" s="22">
        <v>15</v>
      </c>
      <c r="Y5" s="10" t="s">
        <v>6</v>
      </c>
      <c r="Z5" s="22">
        <v>1</v>
      </c>
      <c r="AA5" s="22">
        <v>2</v>
      </c>
      <c r="AB5" s="22">
        <v>3</v>
      </c>
      <c r="AC5" s="22">
        <v>4</v>
      </c>
      <c r="AD5" s="22">
        <v>5</v>
      </c>
      <c r="AE5" s="12" t="s">
        <v>6</v>
      </c>
      <c r="AF5" s="15" t="s">
        <v>16</v>
      </c>
    </row>
    <row r="6" spans="1:32" x14ac:dyDescent="0.2">
      <c r="A6" s="5" t="s">
        <v>29</v>
      </c>
      <c r="C6" s="6">
        <v>57904</v>
      </c>
      <c r="D6" s="4" t="s">
        <v>9</v>
      </c>
      <c r="E6" s="4" t="s">
        <v>26</v>
      </c>
      <c r="F6" s="4" t="s">
        <v>27</v>
      </c>
      <c r="G6" s="4" t="s">
        <v>28</v>
      </c>
      <c r="H6" s="1">
        <v>10000</v>
      </c>
      <c r="I6" s="4" t="s">
        <v>5</v>
      </c>
      <c r="J6" s="27">
        <v>122.9</v>
      </c>
      <c r="K6" s="27">
        <v>126.9</v>
      </c>
      <c r="L6" s="61">
        <v>120</v>
      </c>
      <c r="M6" s="27">
        <v>122.4</v>
      </c>
      <c r="N6" s="27">
        <v>126.9</v>
      </c>
      <c r="O6" s="27">
        <v>126.9</v>
      </c>
      <c r="P6" s="27">
        <v>127.4</v>
      </c>
      <c r="Q6" s="27">
        <v>128.4</v>
      </c>
      <c r="R6" s="27">
        <v>127.4</v>
      </c>
      <c r="S6" s="27">
        <v>127.4</v>
      </c>
      <c r="T6" s="27">
        <v>57.6</v>
      </c>
      <c r="U6" s="27">
        <v>96.6</v>
      </c>
      <c r="V6" s="27">
        <v>125.4</v>
      </c>
      <c r="W6" s="27">
        <v>125.9</v>
      </c>
      <c r="Y6" s="23">
        <f>SUM(J6:X6)</f>
        <v>1662.1000000000001</v>
      </c>
      <c r="Z6" s="1">
        <v>60</v>
      </c>
      <c r="AA6" s="1">
        <v>20</v>
      </c>
      <c r="AE6" s="23">
        <f>SUM(Z6:AD6)</f>
        <v>80</v>
      </c>
      <c r="AF6" s="23">
        <f>Y6-AE6</f>
        <v>1582.1000000000001</v>
      </c>
    </row>
    <row r="7" spans="1:32" s="58" customFormat="1" x14ac:dyDescent="0.2">
      <c r="A7" s="56">
        <v>46118</v>
      </c>
      <c r="B7" s="56" t="s">
        <v>1208</v>
      </c>
      <c r="C7" s="57">
        <v>57904</v>
      </c>
      <c r="D7" s="58" t="s">
        <v>9</v>
      </c>
      <c r="E7" s="58" t="s">
        <v>26</v>
      </c>
      <c r="F7" s="58" t="s">
        <v>27</v>
      </c>
      <c r="G7" s="58" t="s">
        <v>28</v>
      </c>
      <c r="H7" s="59">
        <v>300</v>
      </c>
      <c r="I7" s="58" t="s">
        <v>14</v>
      </c>
      <c r="J7" s="59">
        <v>24.6</v>
      </c>
      <c r="K7" s="59">
        <v>119.9</v>
      </c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60">
        <f t="shared" ref="Y7:Y42" si="0">SUM(J7:X7)</f>
        <v>144.5</v>
      </c>
      <c r="Z7" s="59">
        <v>20</v>
      </c>
      <c r="AA7" s="59">
        <v>30</v>
      </c>
      <c r="AB7" s="59"/>
      <c r="AC7" s="59"/>
      <c r="AD7" s="59"/>
      <c r="AE7" s="60">
        <f t="shared" ref="AE7:AE30" si="1">SUM(Z7:AD7)</f>
        <v>50</v>
      </c>
      <c r="AF7" s="60">
        <f t="shared" ref="AF7:AF30" si="2">Y7-AE7</f>
        <v>94.5</v>
      </c>
    </row>
    <row r="8" spans="1:32" x14ac:dyDescent="0.2">
      <c r="A8" s="5">
        <v>46123</v>
      </c>
      <c r="B8" s="5" t="s">
        <v>1209</v>
      </c>
      <c r="C8" s="6">
        <v>217201</v>
      </c>
      <c r="D8" s="4" t="s">
        <v>9</v>
      </c>
      <c r="I8" s="4" t="s">
        <v>15</v>
      </c>
      <c r="J8" s="1">
        <v>170.4</v>
      </c>
      <c r="Y8" s="23">
        <f t="shared" si="0"/>
        <v>170.4</v>
      </c>
      <c r="AE8" s="23">
        <f t="shared" si="1"/>
        <v>0</v>
      </c>
      <c r="AF8" s="23">
        <f t="shared" si="2"/>
        <v>170.4</v>
      </c>
    </row>
    <row r="9" spans="1:32" x14ac:dyDescent="0.2">
      <c r="A9" s="5">
        <v>46129</v>
      </c>
      <c r="C9" s="6">
        <v>217201</v>
      </c>
      <c r="D9" s="4" t="s">
        <v>10</v>
      </c>
      <c r="I9" s="4" t="s">
        <v>17</v>
      </c>
      <c r="J9" s="1">
        <v>133.80000000000001</v>
      </c>
      <c r="K9" s="1">
        <v>261.02</v>
      </c>
      <c r="Y9" s="23">
        <f t="shared" si="0"/>
        <v>394.82</v>
      </c>
      <c r="AE9" s="23">
        <f t="shared" si="1"/>
        <v>0</v>
      </c>
      <c r="AF9" s="23">
        <f t="shared" si="2"/>
        <v>394.82</v>
      </c>
    </row>
    <row r="10" spans="1:32" x14ac:dyDescent="0.2">
      <c r="A10" s="5">
        <v>46171</v>
      </c>
      <c r="C10" s="6">
        <v>217261</v>
      </c>
      <c r="D10" s="4" t="s">
        <v>8</v>
      </c>
      <c r="E10" s="4" t="s">
        <v>30</v>
      </c>
      <c r="F10" s="4" t="s">
        <v>31</v>
      </c>
      <c r="G10" s="4" t="s">
        <v>32</v>
      </c>
      <c r="H10" s="1">
        <v>140</v>
      </c>
      <c r="I10" s="4" t="s">
        <v>33</v>
      </c>
      <c r="J10" s="1">
        <v>140</v>
      </c>
      <c r="Y10" s="23">
        <f t="shared" si="0"/>
        <v>140</v>
      </c>
      <c r="AE10" s="23">
        <f t="shared" si="1"/>
        <v>0</v>
      </c>
      <c r="AF10" s="23">
        <f t="shared" si="2"/>
        <v>140</v>
      </c>
    </row>
    <row r="11" spans="1:32" x14ac:dyDescent="0.2">
      <c r="A11" s="5">
        <v>46171</v>
      </c>
      <c r="C11" s="6">
        <v>217261</v>
      </c>
      <c r="D11" s="4" t="s">
        <v>8</v>
      </c>
      <c r="E11" s="4" t="s">
        <v>30</v>
      </c>
      <c r="F11" s="4" t="s">
        <v>31</v>
      </c>
      <c r="G11" s="4" t="s">
        <v>32</v>
      </c>
      <c r="H11" s="1">
        <v>11</v>
      </c>
      <c r="I11" s="4" t="s">
        <v>34</v>
      </c>
      <c r="J11" s="1">
        <v>11</v>
      </c>
      <c r="Y11" s="23">
        <f t="shared" si="0"/>
        <v>11</v>
      </c>
      <c r="AE11" s="23">
        <f t="shared" si="1"/>
        <v>0</v>
      </c>
      <c r="AF11" s="23">
        <f t="shared" si="2"/>
        <v>11</v>
      </c>
    </row>
    <row r="12" spans="1:32" x14ac:dyDescent="0.2">
      <c r="A12" s="5">
        <v>46171</v>
      </c>
      <c r="C12" s="6">
        <v>217261</v>
      </c>
      <c r="D12" s="4" t="s">
        <v>9</v>
      </c>
      <c r="E12" s="4" t="s">
        <v>30</v>
      </c>
      <c r="F12" s="4" t="s">
        <v>27</v>
      </c>
      <c r="G12" s="4" t="s">
        <v>32</v>
      </c>
      <c r="H12" s="1">
        <v>200</v>
      </c>
      <c r="I12" s="4" t="s">
        <v>35</v>
      </c>
      <c r="J12" s="1">
        <v>160</v>
      </c>
      <c r="Y12" s="23">
        <f t="shared" si="0"/>
        <v>160</v>
      </c>
      <c r="AE12" s="23">
        <f t="shared" si="1"/>
        <v>0</v>
      </c>
      <c r="AF12" s="23">
        <f t="shared" si="2"/>
        <v>160</v>
      </c>
    </row>
    <row r="13" spans="1:32" x14ac:dyDescent="0.2">
      <c r="A13" s="5">
        <v>46172</v>
      </c>
      <c r="C13" s="6">
        <v>217261</v>
      </c>
      <c r="D13" s="4" t="s">
        <v>9</v>
      </c>
      <c r="E13" s="4" t="s">
        <v>30</v>
      </c>
      <c r="F13" s="4" t="s">
        <v>27</v>
      </c>
      <c r="G13" s="4" t="s">
        <v>32</v>
      </c>
      <c r="I13" s="4" t="s">
        <v>35</v>
      </c>
      <c r="J13" s="1">
        <v>150</v>
      </c>
      <c r="Y13" s="23">
        <f t="shared" si="0"/>
        <v>150</v>
      </c>
      <c r="AE13" s="23">
        <f t="shared" si="1"/>
        <v>0</v>
      </c>
      <c r="AF13" s="23">
        <f t="shared" si="2"/>
        <v>150</v>
      </c>
    </row>
    <row r="14" spans="1:32" x14ac:dyDescent="0.2">
      <c r="A14" s="5">
        <v>46172</v>
      </c>
      <c r="C14" s="6">
        <v>217261</v>
      </c>
      <c r="D14" s="4" t="s">
        <v>10</v>
      </c>
      <c r="E14" s="4" t="s">
        <v>30</v>
      </c>
      <c r="F14" s="4" t="s">
        <v>27</v>
      </c>
      <c r="G14" s="4" t="s">
        <v>32</v>
      </c>
      <c r="H14" s="1">
        <v>150</v>
      </c>
      <c r="I14" s="4" t="s">
        <v>36</v>
      </c>
      <c r="J14" s="1">
        <v>180</v>
      </c>
      <c r="Y14" s="23">
        <f t="shared" si="0"/>
        <v>180</v>
      </c>
      <c r="AE14" s="23">
        <f t="shared" si="1"/>
        <v>0</v>
      </c>
      <c r="AF14" s="23">
        <f t="shared" si="2"/>
        <v>180</v>
      </c>
    </row>
    <row r="15" spans="1:32" x14ac:dyDescent="0.2">
      <c r="A15" s="5">
        <v>46174</v>
      </c>
      <c r="C15" s="6">
        <v>217261</v>
      </c>
      <c r="D15" s="4" t="s">
        <v>10</v>
      </c>
      <c r="E15" s="4" t="s">
        <v>30</v>
      </c>
      <c r="F15" s="4" t="s">
        <v>27</v>
      </c>
      <c r="G15" s="4" t="s">
        <v>32</v>
      </c>
      <c r="I15" s="4" t="s">
        <v>36</v>
      </c>
      <c r="Y15" s="23">
        <f t="shared" si="0"/>
        <v>0</v>
      </c>
      <c r="Z15" s="1">
        <v>20</v>
      </c>
      <c r="AE15" s="23">
        <f t="shared" si="1"/>
        <v>20</v>
      </c>
      <c r="AF15" s="23">
        <f t="shared" si="2"/>
        <v>-20</v>
      </c>
    </row>
    <row r="16" spans="1:32" x14ac:dyDescent="0.2">
      <c r="A16" s="5">
        <v>46174</v>
      </c>
      <c r="C16" s="6">
        <v>217261</v>
      </c>
      <c r="D16" s="4" t="s">
        <v>9</v>
      </c>
      <c r="E16" s="4" t="s">
        <v>30</v>
      </c>
      <c r="F16" s="4" t="s">
        <v>27</v>
      </c>
      <c r="G16" s="4" t="s">
        <v>32</v>
      </c>
      <c r="I16" s="4" t="s">
        <v>35</v>
      </c>
      <c r="Y16" s="23">
        <f t="shared" si="0"/>
        <v>0</v>
      </c>
      <c r="Z16" s="1">
        <v>5</v>
      </c>
      <c r="AE16" s="23">
        <f t="shared" si="1"/>
        <v>5</v>
      </c>
      <c r="AF16" s="23">
        <f t="shared" si="2"/>
        <v>-5</v>
      </c>
    </row>
    <row r="17" spans="1:32" x14ac:dyDescent="0.2">
      <c r="Y17" s="23">
        <f t="shared" si="0"/>
        <v>0</v>
      </c>
      <c r="AE17" s="23">
        <f t="shared" si="1"/>
        <v>0</v>
      </c>
      <c r="AF17" s="23">
        <f t="shared" si="2"/>
        <v>0</v>
      </c>
    </row>
    <row r="18" spans="1:32" x14ac:dyDescent="0.2">
      <c r="A18" s="5">
        <v>46226</v>
      </c>
      <c r="C18" s="6">
        <v>555789</v>
      </c>
      <c r="D18" s="4" t="s">
        <v>9</v>
      </c>
      <c r="E18" s="4" t="s">
        <v>56</v>
      </c>
      <c r="F18" s="4" t="s">
        <v>57</v>
      </c>
      <c r="G18" s="4" t="s">
        <v>58</v>
      </c>
      <c r="H18" s="1">
        <v>2000</v>
      </c>
      <c r="I18" s="4" t="s">
        <v>59</v>
      </c>
      <c r="J18" s="1">
        <v>155</v>
      </c>
      <c r="K18" s="1">
        <v>160</v>
      </c>
      <c r="Y18" s="23">
        <f t="shared" si="0"/>
        <v>315</v>
      </c>
      <c r="AE18" s="23">
        <f t="shared" si="1"/>
        <v>0</v>
      </c>
      <c r="AF18" s="23">
        <f t="shared" si="2"/>
        <v>315</v>
      </c>
    </row>
    <row r="19" spans="1:32" x14ac:dyDescent="0.2">
      <c r="A19" s="5">
        <v>46226</v>
      </c>
      <c r="C19" s="6">
        <v>12122</v>
      </c>
      <c r="D19" s="4" t="s">
        <v>10</v>
      </c>
      <c r="E19" s="4" t="s">
        <v>60</v>
      </c>
      <c r="F19" s="4" t="s">
        <v>61</v>
      </c>
      <c r="G19" s="4" t="s">
        <v>62</v>
      </c>
      <c r="H19" s="1">
        <v>500</v>
      </c>
      <c r="I19" s="4" t="s">
        <v>63</v>
      </c>
      <c r="J19" s="1">
        <v>50</v>
      </c>
      <c r="Y19" s="23">
        <f t="shared" si="0"/>
        <v>50</v>
      </c>
      <c r="AE19" s="23">
        <f t="shared" si="1"/>
        <v>0</v>
      </c>
      <c r="AF19" s="23">
        <f t="shared" si="2"/>
        <v>50</v>
      </c>
    </row>
    <row r="20" spans="1:32" x14ac:dyDescent="0.2">
      <c r="A20" s="5">
        <v>46227</v>
      </c>
      <c r="C20" s="6">
        <v>555789</v>
      </c>
      <c r="D20" s="4" t="s">
        <v>9</v>
      </c>
      <c r="E20" s="4" t="s">
        <v>56</v>
      </c>
      <c r="F20" s="4" t="s">
        <v>57</v>
      </c>
      <c r="G20" s="4" t="s">
        <v>58</v>
      </c>
      <c r="Y20" s="8">
        <f t="shared" si="0"/>
        <v>0</v>
      </c>
      <c r="Z20" s="1">
        <v>20</v>
      </c>
      <c r="AE20" s="8">
        <f t="shared" si="1"/>
        <v>20</v>
      </c>
      <c r="AF20" s="8">
        <f t="shared" si="2"/>
        <v>-20</v>
      </c>
    </row>
    <row r="21" spans="1:32" x14ac:dyDescent="0.2">
      <c r="A21" s="5">
        <v>46226</v>
      </c>
      <c r="C21" s="6">
        <v>21997</v>
      </c>
      <c r="D21" s="4" t="s">
        <v>8</v>
      </c>
      <c r="E21" s="4" t="s">
        <v>1201</v>
      </c>
      <c r="F21" s="4" t="s">
        <v>1202</v>
      </c>
      <c r="G21" s="4" t="s">
        <v>1203</v>
      </c>
      <c r="H21" s="1">
        <v>200</v>
      </c>
      <c r="I21" s="4" t="s">
        <v>1204</v>
      </c>
      <c r="J21" s="27">
        <v>200</v>
      </c>
      <c r="Y21" s="8">
        <f t="shared" si="0"/>
        <v>200</v>
      </c>
      <c r="AE21" s="8">
        <f t="shared" si="1"/>
        <v>0</v>
      </c>
      <c r="AF21" s="8">
        <f t="shared" si="2"/>
        <v>200</v>
      </c>
    </row>
    <row r="22" spans="1:32" x14ac:dyDescent="0.2">
      <c r="A22" s="5">
        <v>46226</v>
      </c>
      <c r="C22" s="6">
        <v>21997</v>
      </c>
      <c r="D22" s="4" t="s">
        <v>8</v>
      </c>
      <c r="E22" s="4" t="s">
        <v>1201</v>
      </c>
      <c r="F22" s="4" t="s">
        <v>1202</v>
      </c>
      <c r="G22" s="4" t="s">
        <v>1203</v>
      </c>
      <c r="H22" s="1">
        <v>20</v>
      </c>
      <c r="I22" s="4" t="s">
        <v>34</v>
      </c>
      <c r="J22" s="27">
        <v>20</v>
      </c>
      <c r="Y22" s="8">
        <f t="shared" si="0"/>
        <v>20</v>
      </c>
      <c r="AE22" s="8">
        <f t="shared" si="1"/>
        <v>0</v>
      </c>
      <c r="AF22" s="8">
        <f t="shared" si="2"/>
        <v>20</v>
      </c>
    </row>
    <row r="23" spans="1:32" x14ac:dyDescent="0.2">
      <c r="A23" s="5">
        <v>46227</v>
      </c>
      <c r="C23" s="6">
        <v>21997</v>
      </c>
      <c r="D23" s="4" t="s">
        <v>8</v>
      </c>
      <c r="E23" s="4" t="s">
        <v>1201</v>
      </c>
      <c r="F23" s="4" t="s">
        <v>1202</v>
      </c>
      <c r="G23" s="4" t="s">
        <v>1203</v>
      </c>
      <c r="I23" s="4" t="s">
        <v>112</v>
      </c>
      <c r="Y23" s="8">
        <f t="shared" si="0"/>
        <v>0</v>
      </c>
      <c r="Z23" s="27">
        <v>203</v>
      </c>
      <c r="AE23" s="8">
        <f t="shared" si="1"/>
        <v>203</v>
      </c>
      <c r="AF23" s="8">
        <f t="shared" si="2"/>
        <v>-203</v>
      </c>
    </row>
    <row r="24" spans="1:32" x14ac:dyDescent="0.2">
      <c r="A24" s="5">
        <v>46227</v>
      </c>
      <c r="C24" s="6">
        <v>21997</v>
      </c>
      <c r="D24" s="4" t="s">
        <v>10</v>
      </c>
      <c r="E24" s="4" t="s">
        <v>1201</v>
      </c>
      <c r="F24" s="4" t="s">
        <v>1202</v>
      </c>
      <c r="G24" s="4" t="s">
        <v>1203</v>
      </c>
      <c r="I24" s="4" t="s">
        <v>112</v>
      </c>
      <c r="J24" s="27">
        <v>203</v>
      </c>
      <c r="Y24" s="8">
        <f t="shared" si="0"/>
        <v>203</v>
      </c>
      <c r="AE24" s="8">
        <f t="shared" si="1"/>
        <v>0</v>
      </c>
      <c r="AF24" s="8">
        <f t="shared" si="2"/>
        <v>203</v>
      </c>
    </row>
    <row r="25" spans="1:32" x14ac:dyDescent="0.2">
      <c r="Y25" s="8">
        <f t="shared" si="0"/>
        <v>0</v>
      </c>
      <c r="AE25" s="8">
        <f t="shared" si="1"/>
        <v>0</v>
      </c>
      <c r="AF25" s="8">
        <f t="shared" si="2"/>
        <v>0</v>
      </c>
    </row>
    <row r="26" spans="1:32" x14ac:dyDescent="0.2">
      <c r="A26" s="5">
        <v>46227</v>
      </c>
      <c r="C26" s="6">
        <v>212222</v>
      </c>
      <c r="E26" s="4" t="s">
        <v>1201</v>
      </c>
      <c r="F26" s="4" t="s">
        <v>1202</v>
      </c>
      <c r="G26" s="4" t="s">
        <v>1203</v>
      </c>
      <c r="H26" s="1">
        <v>600</v>
      </c>
      <c r="I26" s="4" t="s">
        <v>1205</v>
      </c>
      <c r="J26" s="1">
        <v>200</v>
      </c>
      <c r="Y26" s="8">
        <f t="shared" si="0"/>
        <v>200</v>
      </c>
      <c r="AE26" s="8">
        <f t="shared" si="1"/>
        <v>0</v>
      </c>
      <c r="AF26" s="8">
        <f t="shared" si="2"/>
        <v>200</v>
      </c>
    </row>
    <row r="27" spans="1:32" x14ac:dyDescent="0.2">
      <c r="A27" s="5">
        <v>46227</v>
      </c>
      <c r="C27" s="6">
        <v>212222</v>
      </c>
      <c r="E27" s="4" t="s">
        <v>1201</v>
      </c>
      <c r="F27" s="4" t="s">
        <v>1202</v>
      </c>
      <c r="G27" s="4" t="s">
        <v>1203</v>
      </c>
      <c r="I27" s="4" t="s">
        <v>1206</v>
      </c>
      <c r="J27" s="1">
        <v>300</v>
      </c>
      <c r="Y27" s="8">
        <f t="shared" si="0"/>
        <v>300</v>
      </c>
      <c r="AE27" s="8">
        <f t="shared" si="1"/>
        <v>0</v>
      </c>
      <c r="AF27" s="8">
        <f t="shared" si="2"/>
        <v>300</v>
      </c>
    </row>
    <row r="28" spans="1:32" x14ac:dyDescent="0.2">
      <c r="Y28" s="8">
        <f t="shared" si="0"/>
        <v>0</v>
      </c>
      <c r="AE28" s="8">
        <f t="shared" si="1"/>
        <v>0</v>
      </c>
      <c r="AF28" s="8">
        <f t="shared" si="2"/>
        <v>0</v>
      </c>
    </row>
    <row r="29" spans="1:32" x14ac:dyDescent="0.2">
      <c r="Y29" s="8">
        <f t="shared" si="0"/>
        <v>0</v>
      </c>
      <c r="AE29" s="8">
        <f t="shared" si="1"/>
        <v>0</v>
      </c>
      <c r="AF29" s="8">
        <f t="shared" si="2"/>
        <v>0</v>
      </c>
    </row>
    <row r="30" spans="1:32" x14ac:dyDescent="0.2">
      <c r="Y30" s="8">
        <f t="shared" si="0"/>
        <v>0</v>
      </c>
      <c r="AE30" s="8">
        <f t="shared" si="1"/>
        <v>0</v>
      </c>
      <c r="AF30" s="8">
        <f t="shared" si="2"/>
        <v>0</v>
      </c>
    </row>
    <row r="31" spans="1:32" x14ac:dyDescent="0.2">
      <c r="Y31" s="8">
        <f t="shared" si="0"/>
        <v>0</v>
      </c>
      <c r="AE31" s="8">
        <f t="shared" ref="AE31:AE42" si="3">SUM(Z31:AD31)</f>
        <v>0</v>
      </c>
      <c r="AF31" s="8">
        <f t="shared" ref="AF31:AF42" si="4">Y31-AE31</f>
        <v>0</v>
      </c>
    </row>
    <row r="32" spans="1:32" x14ac:dyDescent="0.2">
      <c r="Y32" s="8">
        <f t="shared" si="0"/>
        <v>0</v>
      </c>
      <c r="AE32" s="8">
        <f t="shared" si="3"/>
        <v>0</v>
      </c>
      <c r="AF32" s="8">
        <f t="shared" si="4"/>
        <v>0</v>
      </c>
    </row>
    <row r="33" spans="25:32" x14ac:dyDescent="0.2">
      <c r="Y33" s="8">
        <f t="shared" si="0"/>
        <v>0</v>
      </c>
      <c r="AE33" s="8">
        <f t="shared" si="3"/>
        <v>0</v>
      </c>
      <c r="AF33" s="8">
        <f t="shared" si="4"/>
        <v>0</v>
      </c>
    </row>
    <row r="34" spans="25:32" x14ac:dyDescent="0.2">
      <c r="Y34" s="8">
        <f t="shared" si="0"/>
        <v>0</v>
      </c>
      <c r="AE34" s="8">
        <f t="shared" si="3"/>
        <v>0</v>
      </c>
      <c r="AF34" s="8">
        <f t="shared" si="4"/>
        <v>0</v>
      </c>
    </row>
    <row r="35" spans="25:32" x14ac:dyDescent="0.2">
      <c r="Y35" s="8">
        <f t="shared" si="0"/>
        <v>0</v>
      </c>
      <c r="AE35" s="8">
        <f t="shared" si="3"/>
        <v>0</v>
      </c>
      <c r="AF35" s="8">
        <f t="shared" si="4"/>
        <v>0</v>
      </c>
    </row>
    <row r="36" spans="25:32" x14ac:dyDescent="0.2">
      <c r="Y36" s="8">
        <f t="shared" si="0"/>
        <v>0</v>
      </c>
      <c r="AE36" s="8">
        <f t="shared" si="3"/>
        <v>0</v>
      </c>
      <c r="AF36" s="8">
        <f t="shared" si="4"/>
        <v>0</v>
      </c>
    </row>
    <row r="37" spans="25:32" x14ac:dyDescent="0.2">
      <c r="Y37" s="8">
        <f t="shared" si="0"/>
        <v>0</v>
      </c>
      <c r="AE37" s="8">
        <f t="shared" si="3"/>
        <v>0</v>
      </c>
      <c r="AF37" s="8">
        <f t="shared" si="4"/>
        <v>0</v>
      </c>
    </row>
    <row r="38" spans="25:32" x14ac:dyDescent="0.2">
      <c r="Y38" s="8">
        <f t="shared" si="0"/>
        <v>0</v>
      </c>
      <c r="AE38" s="8">
        <f t="shared" si="3"/>
        <v>0</v>
      </c>
      <c r="AF38" s="8">
        <f t="shared" si="4"/>
        <v>0</v>
      </c>
    </row>
    <row r="39" spans="25:32" x14ac:dyDescent="0.2">
      <c r="Y39" s="8">
        <f t="shared" si="0"/>
        <v>0</v>
      </c>
      <c r="AE39" s="8">
        <f t="shared" si="3"/>
        <v>0</v>
      </c>
      <c r="AF39" s="8">
        <f t="shared" si="4"/>
        <v>0</v>
      </c>
    </row>
    <row r="40" spans="25:32" x14ac:dyDescent="0.2">
      <c r="Y40" s="8">
        <f t="shared" si="0"/>
        <v>0</v>
      </c>
      <c r="AE40" s="8">
        <f t="shared" si="3"/>
        <v>0</v>
      </c>
      <c r="AF40" s="8">
        <f t="shared" si="4"/>
        <v>0</v>
      </c>
    </row>
    <row r="41" spans="25:32" x14ac:dyDescent="0.2">
      <c r="Y41" s="8">
        <f t="shared" si="0"/>
        <v>0</v>
      </c>
      <c r="AE41" s="8">
        <f t="shared" si="3"/>
        <v>0</v>
      </c>
      <c r="AF41" s="8">
        <f t="shared" si="4"/>
        <v>0</v>
      </c>
    </row>
    <row r="42" spans="25:32" x14ac:dyDescent="0.2">
      <c r="Y42" s="8">
        <f t="shared" si="0"/>
        <v>0</v>
      </c>
      <c r="AE42" s="8">
        <f t="shared" si="3"/>
        <v>0</v>
      </c>
      <c r="AF42" s="8">
        <f t="shared" si="4"/>
        <v>0</v>
      </c>
    </row>
  </sheetData>
  <autoFilter ref="H1:H42" xr:uid="{D341C0B0-A699-4C16-8347-2D55131C91FD}"/>
  <mergeCells count="4">
    <mergeCell ref="A2:D2"/>
    <mergeCell ref="AC2:AF2"/>
    <mergeCell ref="Z2:AB2"/>
    <mergeCell ref="F2:Y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31D4FB-36E6-49CE-99E1-AC194A0DAD9C}">
          <x14:formula1>
            <xm:f>Hoja2!$B$4:$B$8</xm:f>
          </x14:formula1>
          <xm:sqref>D6:D42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D598-8AC6-4F13-BEF4-C3A1E229B609}">
  <dimension ref="A1:AE42"/>
  <sheetViews>
    <sheetView zoomScale="175" zoomScaleNormal="175" workbookViewId="0">
      <pane xSplit="8" ySplit="5" topLeftCell="I18" activePane="bottomRight" state="frozen"/>
      <selection pane="topRight" activeCell="I1" sqref="I1"/>
      <selection pane="bottomLeft" activeCell="A6" sqref="A6"/>
      <selection pane="bottomRight" activeCell="D28" sqref="D28"/>
    </sheetView>
  </sheetViews>
  <sheetFormatPr baseColWidth="10" defaultRowHeight="10.199999999999999" x14ac:dyDescent="0.2"/>
  <cols>
    <col min="1" max="1" width="8.77734375" style="5" bestFit="1" customWidth="1"/>
    <col min="2" max="2" width="5.5546875" style="6" customWidth="1"/>
    <col min="3" max="3" width="9.6640625" style="4" customWidth="1"/>
    <col min="4" max="4" width="9.21875" style="4" customWidth="1"/>
    <col min="5" max="5" width="8.5546875" style="4" bestFit="1" customWidth="1"/>
    <col min="6" max="6" width="10.21875" style="4" customWidth="1"/>
    <col min="7" max="7" width="10.21875" style="1" customWidth="1"/>
    <col min="8" max="8" width="11.5546875" style="4"/>
    <col min="9" max="23" width="5.109375" style="1" customWidth="1"/>
    <col min="24" max="24" width="7.109375" style="8" bestFit="1" customWidth="1"/>
    <col min="25" max="29" width="5.6640625" style="1" customWidth="1"/>
    <col min="30" max="30" width="7" style="13" bestFit="1" customWidth="1"/>
    <col min="31" max="31" width="11.33203125" style="7" bestFit="1" customWidth="1"/>
    <col min="32" max="16384" width="11.5546875" style="4"/>
  </cols>
  <sheetData>
    <row r="1" spans="1:31" x14ac:dyDescent="0.2">
      <c r="X1" s="23"/>
      <c r="AD1" s="24"/>
      <c r="AE1" s="4"/>
    </row>
    <row r="2" spans="1:31" s="26" customFormat="1" ht="42.6" customHeight="1" x14ac:dyDescent="0.3">
      <c r="A2" s="48"/>
      <c r="B2" s="48"/>
      <c r="C2" s="48"/>
      <c r="D2" s="25"/>
      <c r="E2" s="50" t="s">
        <v>19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49" t="s">
        <v>20</v>
      </c>
      <c r="Z2" s="49"/>
      <c r="AA2" s="49"/>
      <c r="AB2" s="49" t="s">
        <v>21</v>
      </c>
      <c r="AC2" s="49"/>
      <c r="AD2" s="49"/>
      <c r="AE2" s="49"/>
    </row>
    <row r="3" spans="1:31" x14ac:dyDescent="0.2">
      <c r="X3" s="23"/>
      <c r="AD3" s="24"/>
      <c r="AE3" s="4"/>
    </row>
    <row r="4" spans="1:31" s="3" customFormat="1" ht="10.199999999999999" customHeight="1" x14ac:dyDescent="0.25">
      <c r="A4" s="16"/>
      <c r="B4" s="17"/>
      <c r="C4" s="18"/>
      <c r="D4" s="18"/>
      <c r="E4" s="18"/>
      <c r="F4" s="18"/>
      <c r="G4" s="53" t="s">
        <v>25</v>
      </c>
      <c r="H4" s="55"/>
      <c r="I4" s="19" t="s">
        <v>2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20"/>
      <c r="X4" s="9"/>
      <c r="Y4" s="21" t="s">
        <v>3</v>
      </c>
      <c r="Z4" s="19"/>
      <c r="AA4" s="19"/>
      <c r="AB4" s="19"/>
      <c r="AC4" s="20"/>
      <c r="AD4" s="11"/>
      <c r="AE4" s="14"/>
    </row>
    <row r="5" spans="1:31" s="2" customFormat="1" ht="12" x14ac:dyDescent="0.25">
      <c r="A5" s="51" t="s">
        <v>0</v>
      </c>
      <c r="B5" s="52" t="s">
        <v>4</v>
      </c>
      <c r="C5" s="52" t="s">
        <v>7</v>
      </c>
      <c r="D5" s="52" t="s">
        <v>23</v>
      </c>
      <c r="E5" s="52" t="s">
        <v>18</v>
      </c>
      <c r="F5" s="52" t="s">
        <v>22</v>
      </c>
      <c r="G5" s="54" t="s">
        <v>24</v>
      </c>
      <c r="H5" s="52" t="s">
        <v>1</v>
      </c>
      <c r="I5" s="22">
        <v>1</v>
      </c>
      <c r="J5" s="22">
        <v>2</v>
      </c>
      <c r="K5" s="22">
        <v>3</v>
      </c>
      <c r="L5" s="22">
        <v>4</v>
      </c>
      <c r="M5" s="22">
        <v>5</v>
      </c>
      <c r="N5" s="22">
        <v>6</v>
      </c>
      <c r="O5" s="22">
        <v>7</v>
      </c>
      <c r="P5" s="22">
        <v>8</v>
      </c>
      <c r="Q5" s="22">
        <v>9</v>
      </c>
      <c r="R5" s="22">
        <v>10</v>
      </c>
      <c r="S5" s="22">
        <v>11</v>
      </c>
      <c r="T5" s="22">
        <v>12</v>
      </c>
      <c r="U5" s="22">
        <v>13</v>
      </c>
      <c r="V5" s="22">
        <v>14</v>
      </c>
      <c r="W5" s="22">
        <v>15</v>
      </c>
      <c r="X5" s="10" t="s">
        <v>6</v>
      </c>
      <c r="Y5" s="22">
        <v>1</v>
      </c>
      <c r="Z5" s="22">
        <v>2</v>
      </c>
      <c r="AA5" s="22">
        <v>3</v>
      </c>
      <c r="AB5" s="22">
        <v>4</v>
      </c>
      <c r="AC5" s="22">
        <v>5</v>
      </c>
      <c r="AD5" s="12" t="s">
        <v>6</v>
      </c>
      <c r="AE5" s="15" t="s">
        <v>16</v>
      </c>
    </row>
    <row r="6" spans="1:31" x14ac:dyDescent="0.2">
      <c r="A6" s="5" t="s">
        <v>29</v>
      </c>
      <c r="B6" s="6">
        <v>57904</v>
      </c>
      <c r="C6" s="4" t="s">
        <v>9</v>
      </c>
      <c r="D6" s="4" t="s">
        <v>26</v>
      </c>
      <c r="E6" s="4" t="s">
        <v>27</v>
      </c>
      <c r="F6" s="4" t="s">
        <v>28</v>
      </c>
      <c r="G6" s="1">
        <v>10000</v>
      </c>
      <c r="H6" s="4" t="s">
        <v>5</v>
      </c>
      <c r="I6" s="27">
        <v>122.9</v>
      </c>
      <c r="J6" s="27">
        <v>126.9</v>
      </c>
      <c r="K6" s="27">
        <v>127.9</v>
      </c>
      <c r="L6" s="27">
        <v>122.4</v>
      </c>
      <c r="M6" s="27">
        <v>126.9</v>
      </c>
      <c r="N6" s="27">
        <v>126.9</v>
      </c>
      <c r="O6" s="27">
        <v>127.4</v>
      </c>
      <c r="P6" s="27">
        <v>128.4</v>
      </c>
      <c r="Q6" s="27">
        <v>127.4</v>
      </c>
      <c r="R6" s="27">
        <v>127.4</v>
      </c>
      <c r="S6" s="27">
        <v>57.6</v>
      </c>
      <c r="T6" s="27">
        <v>96.6</v>
      </c>
      <c r="U6" s="27">
        <v>125.4</v>
      </c>
      <c r="V6" s="27">
        <v>125.9</v>
      </c>
      <c r="X6" s="23">
        <f>SUM(I6:W6)</f>
        <v>1670</v>
      </c>
      <c r="Y6" s="1">
        <v>60</v>
      </c>
      <c r="Z6" s="1">
        <v>20</v>
      </c>
      <c r="AD6" s="23">
        <f>SUM(Y6:AC6)</f>
        <v>80</v>
      </c>
      <c r="AE6" s="23">
        <f>X6-AD6</f>
        <v>1590</v>
      </c>
    </row>
    <row r="7" spans="1:31" s="58" customFormat="1" x14ac:dyDescent="0.2">
      <c r="A7" s="56">
        <v>46118</v>
      </c>
      <c r="B7" s="57">
        <v>57904</v>
      </c>
      <c r="C7" s="58" t="s">
        <v>9</v>
      </c>
      <c r="D7" s="58" t="s">
        <v>26</v>
      </c>
      <c r="E7" s="58" t="s">
        <v>27</v>
      </c>
      <c r="F7" s="58" t="s">
        <v>28</v>
      </c>
      <c r="G7" s="59">
        <v>300</v>
      </c>
      <c r="H7" s="58" t="s">
        <v>14</v>
      </c>
      <c r="I7" s="59">
        <v>24.6</v>
      </c>
      <c r="J7" s="59">
        <v>119.9</v>
      </c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60">
        <f t="shared" ref="X7:X42" si="0">SUM(I7:W7)</f>
        <v>144.5</v>
      </c>
      <c r="Y7" s="59">
        <v>20</v>
      </c>
      <c r="Z7" s="59">
        <v>30</v>
      </c>
      <c r="AA7" s="59"/>
      <c r="AB7" s="59"/>
      <c r="AC7" s="59"/>
      <c r="AD7" s="60">
        <f t="shared" ref="AD7:AD42" si="1">SUM(Y7:AC7)</f>
        <v>50</v>
      </c>
      <c r="AE7" s="60">
        <f t="shared" ref="AE7:AE42" si="2">X7-AD7</f>
        <v>94.5</v>
      </c>
    </row>
    <row r="8" spans="1:31" x14ac:dyDescent="0.2">
      <c r="A8" s="5">
        <v>46123</v>
      </c>
      <c r="B8" s="6">
        <v>217201</v>
      </c>
      <c r="C8" s="4" t="s">
        <v>9</v>
      </c>
      <c r="H8" s="4" t="s">
        <v>15</v>
      </c>
      <c r="I8" s="1">
        <v>170.4</v>
      </c>
      <c r="X8" s="23">
        <f t="shared" si="0"/>
        <v>170.4</v>
      </c>
      <c r="AD8" s="23">
        <f t="shared" si="1"/>
        <v>0</v>
      </c>
      <c r="AE8" s="23">
        <f t="shared" si="2"/>
        <v>170.4</v>
      </c>
    </row>
    <row r="9" spans="1:31" x14ac:dyDescent="0.2">
      <c r="A9" s="5">
        <v>46129</v>
      </c>
      <c r="B9" s="6">
        <v>217201</v>
      </c>
      <c r="C9" s="4" t="s">
        <v>10</v>
      </c>
      <c r="H9" s="4" t="s">
        <v>17</v>
      </c>
      <c r="I9" s="1">
        <v>133.80000000000001</v>
      </c>
      <c r="J9" s="1">
        <v>261.02</v>
      </c>
      <c r="X9" s="23">
        <f t="shared" si="0"/>
        <v>394.82</v>
      </c>
      <c r="AD9" s="23">
        <f t="shared" si="1"/>
        <v>0</v>
      </c>
      <c r="AE9" s="23">
        <f t="shared" si="2"/>
        <v>394.82</v>
      </c>
    </row>
    <row r="10" spans="1:31" x14ac:dyDescent="0.2">
      <c r="A10" s="5">
        <v>46171</v>
      </c>
      <c r="B10" s="6">
        <v>217261</v>
      </c>
      <c r="C10" s="4" t="s">
        <v>8</v>
      </c>
      <c r="D10" s="4" t="s">
        <v>30</v>
      </c>
      <c r="E10" s="4" t="s">
        <v>31</v>
      </c>
      <c r="F10" s="4" t="s">
        <v>32</v>
      </c>
      <c r="G10" s="1">
        <v>140</v>
      </c>
      <c r="H10" s="4" t="s">
        <v>33</v>
      </c>
      <c r="I10" s="1">
        <v>140</v>
      </c>
      <c r="X10" s="23">
        <f t="shared" si="0"/>
        <v>140</v>
      </c>
      <c r="AD10" s="23">
        <f t="shared" si="1"/>
        <v>0</v>
      </c>
      <c r="AE10" s="23">
        <f t="shared" si="2"/>
        <v>140</v>
      </c>
    </row>
    <row r="11" spans="1:31" x14ac:dyDescent="0.2">
      <c r="A11" s="5">
        <v>46171</v>
      </c>
      <c r="B11" s="6">
        <v>217261</v>
      </c>
      <c r="C11" s="4" t="s">
        <v>8</v>
      </c>
      <c r="D11" s="4" t="s">
        <v>30</v>
      </c>
      <c r="E11" s="4" t="s">
        <v>31</v>
      </c>
      <c r="F11" s="4" t="s">
        <v>32</v>
      </c>
      <c r="G11" s="1">
        <v>11</v>
      </c>
      <c r="H11" s="4" t="s">
        <v>34</v>
      </c>
      <c r="I11" s="1">
        <v>11</v>
      </c>
      <c r="X11" s="23">
        <f t="shared" si="0"/>
        <v>11</v>
      </c>
      <c r="AD11" s="23">
        <f t="shared" si="1"/>
        <v>0</v>
      </c>
      <c r="AE11" s="23">
        <f t="shared" si="2"/>
        <v>11</v>
      </c>
    </row>
    <row r="12" spans="1:31" x14ac:dyDescent="0.2">
      <c r="A12" s="5">
        <v>46171</v>
      </c>
      <c r="B12" s="6">
        <v>217261</v>
      </c>
      <c r="C12" s="4" t="s">
        <v>9</v>
      </c>
      <c r="D12" s="4" t="s">
        <v>30</v>
      </c>
      <c r="E12" s="4" t="s">
        <v>27</v>
      </c>
      <c r="F12" s="4" t="s">
        <v>32</v>
      </c>
      <c r="G12" s="1">
        <v>200</v>
      </c>
      <c r="H12" s="4" t="s">
        <v>35</v>
      </c>
      <c r="I12" s="1">
        <v>160</v>
      </c>
      <c r="X12" s="23">
        <f t="shared" si="0"/>
        <v>160</v>
      </c>
      <c r="AD12" s="23">
        <f t="shared" si="1"/>
        <v>0</v>
      </c>
      <c r="AE12" s="23">
        <f t="shared" si="2"/>
        <v>160</v>
      </c>
    </row>
    <row r="13" spans="1:31" x14ac:dyDescent="0.2">
      <c r="A13" s="5">
        <v>46172</v>
      </c>
      <c r="B13" s="6">
        <v>217261</v>
      </c>
      <c r="C13" s="4" t="s">
        <v>9</v>
      </c>
      <c r="D13" s="4" t="s">
        <v>30</v>
      </c>
      <c r="E13" s="4" t="s">
        <v>27</v>
      </c>
      <c r="F13" s="4" t="s">
        <v>32</v>
      </c>
      <c r="H13" s="4" t="s">
        <v>35</v>
      </c>
      <c r="I13" s="1">
        <v>150</v>
      </c>
      <c r="X13" s="23">
        <f t="shared" si="0"/>
        <v>150</v>
      </c>
      <c r="AD13" s="23">
        <f t="shared" si="1"/>
        <v>0</v>
      </c>
      <c r="AE13" s="23">
        <f t="shared" si="2"/>
        <v>150</v>
      </c>
    </row>
    <row r="14" spans="1:31" x14ac:dyDescent="0.2">
      <c r="A14" s="5">
        <v>46172</v>
      </c>
      <c r="B14" s="6">
        <v>217261</v>
      </c>
      <c r="C14" s="4" t="s">
        <v>10</v>
      </c>
      <c r="D14" s="4" t="s">
        <v>30</v>
      </c>
      <c r="E14" s="4" t="s">
        <v>27</v>
      </c>
      <c r="F14" s="4" t="s">
        <v>32</v>
      </c>
      <c r="G14" s="1">
        <v>150</v>
      </c>
      <c r="H14" s="4" t="s">
        <v>36</v>
      </c>
      <c r="I14" s="1">
        <v>180</v>
      </c>
      <c r="X14" s="23">
        <f t="shared" si="0"/>
        <v>180</v>
      </c>
      <c r="AD14" s="23">
        <f t="shared" si="1"/>
        <v>0</v>
      </c>
      <c r="AE14" s="23">
        <f t="shared" si="2"/>
        <v>180</v>
      </c>
    </row>
    <row r="15" spans="1:31" x14ac:dyDescent="0.2">
      <c r="A15" s="5">
        <v>46174</v>
      </c>
      <c r="B15" s="6">
        <v>217261</v>
      </c>
      <c r="C15" s="4" t="s">
        <v>10</v>
      </c>
      <c r="D15" s="4" t="s">
        <v>30</v>
      </c>
      <c r="E15" s="4" t="s">
        <v>27</v>
      </c>
      <c r="F15" s="4" t="s">
        <v>32</v>
      </c>
      <c r="H15" s="4" t="s">
        <v>36</v>
      </c>
      <c r="X15" s="23">
        <f t="shared" si="0"/>
        <v>0</v>
      </c>
      <c r="Y15" s="1">
        <v>20</v>
      </c>
      <c r="AD15" s="23">
        <f t="shared" si="1"/>
        <v>20</v>
      </c>
      <c r="AE15" s="23">
        <f t="shared" si="2"/>
        <v>-20</v>
      </c>
    </row>
    <row r="16" spans="1:31" x14ac:dyDescent="0.2">
      <c r="A16" s="5">
        <v>46174</v>
      </c>
      <c r="B16" s="6">
        <v>217261</v>
      </c>
      <c r="C16" s="4" t="s">
        <v>9</v>
      </c>
      <c r="D16" s="4" t="s">
        <v>30</v>
      </c>
      <c r="E16" s="4" t="s">
        <v>27</v>
      </c>
      <c r="F16" s="4" t="s">
        <v>32</v>
      </c>
      <c r="H16" s="4" t="s">
        <v>35</v>
      </c>
      <c r="X16" s="23">
        <f t="shared" si="0"/>
        <v>0</v>
      </c>
      <c r="Y16" s="1">
        <v>5</v>
      </c>
      <c r="AD16" s="23">
        <f t="shared" si="1"/>
        <v>5</v>
      </c>
      <c r="AE16" s="23">
        <f t="shared" si="2"/>
        <v>-5</v>
      </c>
    </row>
    <row r="17" spans="1:31" x14ac:dyDescent="0.2">
      <c r="X17" s="23">
        <f t="shared" si="0"/>
        <v>0</v>
      </c>
      <c r="AD17" s="23">
        <f t="shared" si="1"/>
        <v>0</v>
      </c>
      <c r="AE17" s="23">
        <f t="shared" si="2"/>
        <v>0</v>
      </c>
    </row>
    <row r="18" spans="1:31" x14ac:dyDescent="0.2">
      <c r="A18" s="5">
        <v>46226</v>
      </c>
      <c r="B18" s="6">
        <v>555789</v>
      </c>
      <c r="C18" s="4" t="s">
        <v>9</v>
      </c>
      <c r="D18" s="4" t="s">
        <v>56</v>
      </c>
      <c r="E18" s="4" t="s">
        <v>57</v>
      </c>
      <c r="F18" s="4" t="s">
        <v>58</v>
      </c>
      <c r="G18" s="1">
        <v>2000</v>
      </c>
      <c r="H18" s="4" t="s">
        <v>59</v>
      </c>
      <c r="I18" s="1">
        <v>155</v>
      </c>
      <c r="J18" s="1">
        <v>160</v>
      </c>
      <c r="X18" s="23">
        <f t="shared" si="0"/>
        <v>315</v>
      </c>
      <c r="AD18" s="23">
        <f t="shared" si="1"/>
        <v>0</v>
      </c>
      <c r="AE18" s="23">
        <f t="shared" si="2"/>
        <v>315</v>
      </c>
    </row>
    <row r="19" spans="1:31" x14ac:dyDescent="0.2">
      <c r="A19" s="5">
        <v>46226</v>
      </c>
      <c r="B19" s="6">
        <v>12122</v>
      </c>
      <c r="C19" s="4" t="s">
        <v>10</v>
      </c>
      <c r="D19" s="4" t="s">
        <v>60</v>
      </c>
      <c r="E19" s="4" t="s">
        <v>61</v>
      </c>
      <c r="F19" s="4" t="s">
        <v>62</v>
      </c>
      <c r="G19" s="1">
        <v>500</v>
      </c>
      <c r="H19" s="4" t="s">
        <v>63</v>
      </c>
      <c r="I19" s="1">
        <v>50</v>
      </c>
      <c r="X19" s="23">
        <f t="shared" si="0"/>
        <v>50</v>
      </c>
      <c r="AD19" s="23">
        <f t="shared" si="1"/>
        <v>0</v>
      </c>
      <c r="AE19" s="23">
        <f t="shared" si="2"/>
        <v>50</v>
      </c>
    </row>
    <row r="20" spans="1:31" x14ac:dyDescent="0.2">
      <c r="A20" s="5">
        <v>46227</v>
      </c>
      <c r="B20" s="6">
        <v>555789</v>
      </c>
      <c r="C20" s="4" t="s">
        <v>9</v>
      </c>
      <c r="D20" s="4" t="s">
        <v>56</v>
      </c>
      <c r="E20" s="4" t="s">
        <v>57</v>
      </c>
      <c r="F20" s="4" t="s">
        <v>58</v>
      </c>
      <c r="X20" s="8">
        <f t="shared" si="0"/>
        <v>0</v>
      </c>
      <c r="Y20" s="1">
        <v>20</v>
      </c>
      <c r="AD20" s="8">
        <f t="shared" si="1"/>
        <v>20</v>
      </c>
      <c r="AE20" s="8">
        <f t="shared" si="2"/>
        <v>-20</v>
      </c>
    </row>
    <row r="21" spans="1:31" x14ac:dyDescent="0.2">
      <c r="A21" s="5">
        <v>46226</v>
      </c>
      <c r="B21" s="6">
        <v>21997</v>
      </c>
      <c r="C21" s="4" t="s">
        <v>8</v>
      </c>
      <c r="D21" s="4" t="s">
        <v>1201</v>
      </c>
      <c r="E21" s="4" t="s">
        <v>1202</v>
      </c>
      <c r="F21" s="4" t="s">
        <v>1203</v>
      </c>
      <c r="G21" s="1">
        <v>200</v>
      </c>
      <c r="H21" s="4" t="s">
        <v>1204</v>
      </c>
      <c r="I21" s="27">
        <v>200</v>
      </c>
      <c r="X21" s="8">
        <f t="shared" si="0"/>
        <v>200</v>
      </c>
      <c r="AD21" s="8">
        <f t="shared" si="1"/>
        <v>0</v>
      </c>
      <c r="AE21" s="8">
        <f t="shared" si="2"/>
        <v>200</v>
      </c>
    </row>
    <row r="22" spans="1:31" x14ac:dyDescent="0.2">
      <c r="A22" s="5">
        <v>46226</v>
      </c>
      <c r="B22" s="6">
        <v>21997</v>
      </c>
      <c r="C22" s="4" t="s">
        <v>8</v>
      </c>
      <c r="D22" s="4" t="s">
        <v>1201</v>
      </c>
      <c r="E22" s="4" t="s">
        <v>1202</v>
      </c>
      <c r="F22" s="4" t="s">
        <v>1203</v>
      </c>
      <c r="G22" s="1">
        <v>20</v>
      </c>
      <c r="H22" s="4" t="s">
        <v>34</v>
      </c>
      <c r="I22" s="27">
        <v>20</v>
      </c>
      <c r="X22" s="8">
        <f t="shared" si="0"/>
        <v>20</v>
      </c>
      <c r="AD22" s="8">
        <f t="shared" si="1"/>
        <v>0</v>
      </c>
      <c r="AE22" s="8">
        <f t="shared" si="2"/>
        <v>20</v>
      </c>
    </row>
    <row r="23" spans="1:31" x14ac:dyDescent="0.2">
      <c r="A23" s="5">
        <v>46227</v>
      </c>
      <c r="B23" s="6">
        <v>21997</v>
      </c>
      <c r="C23" s="4" t="s">
        <v>8</v>
      </c>
      <c r="D23" s="4" t="s">
        <v>1201</v>
      </c>
      <c r="E23" s="4" t="s">
        <v>1202</v>
      </c>
      <c r="F23" s="4" t="s">
        <v>1203</v>
      </c>
      <c r="H23" s="4" t="s">
        <v>112</v>
      </c>
      <c r="X23" s="8">
        <f t="shared" si="0"/>
        <v>0</v>
      </c>
      <c r="Y23" s="27">
        <v>203</v>
      </c>
      <c r="AD23" s="8">
        <f t="shared" si="1"/>
        <v>203</v>
      </c>
      <c r="AE23" s="8">
        <f t="shared" si="2"/>
        <v>-203</v>
      </c>
    </row>
    <row r="24" spans="1:31" x14ac:dyDescent="0.2">
      <c r="A24" s="5">
        <v>46227</v>
      </c>
      <c r="B24" s="6">
        <v>21997</v>
      </c>
      <c r="C24" s="4" t="s">
        <v>10</v>
      </c>
      <c r="D24" s="4" t="s">
        <v>1201</v>
      </c>
      <c r="E24" s="4" t="s">
        <v>1202</v>
      </c>
      <c r="F24" s="4" t="s">
        <v>1203</v>
      </c>
      <c r="H24" s="4" t="s">
        <v>112</v>
      </c>
      <c r="I24" s="27">
        <v>203</v>
      </c>
      <c r="X24" s="8">
        <f t="shared" si="0"/>
        <v>203</v>
      </c>
      <c r="AD24" s="8">
        <f t="shared" si="1"/>
        <v>0</v>
      </c>
      <c r="AE24" s="8">
        <f t="shared" si="2"/>
        <v>203</v>
      </c>
    </row>
    <row r="25" spans="1:31" x14ac:dyDescent="0.2">
      <c r="X25" s="8">
        <f t="shared" si="0"/>
        <v>0</v>
      </c>
      <c r="AD25" s="8">
        <f t="shared" si="1"/>
        <v>0</v>
      </c>
      <c r="AE25" s="8">
        <f t="shared" si="2"/>
        <v>0</v>
      </c>
    </row>
    <row r="26" spans="1:31" x14ac:dyDescent="0.2">
      <c r="X26" s="8">
        <f t="shared" si="0"/>
        <v>0</v>
      </c>
      <c r="AD26" s="8">
        <f t="shared" si="1"/>
        <v>0</v>
      </c>
      <c r="AE26" s="8">
        <f t="shared" si="2"/>
        <v>0</v>
      </c>
    </row>
    <row r="27" spans="1:31" x14ac:dyDescent="0.2">
      <c r="X27" s="8">
        <f t="shared" si="0"/>
        <v>0</v>
      </c>
      <c r="AD27" s="8">
        <f t="shared" si="1"/>
        <v>0</v>
      </c>
      <c r="AE27" s="8">
        <f t="shared" si="2"/>
        <v>0</v>
      </c>
    </row>
    <row r="28" spans="1:31" x14ac:dyDescent="0.2">
      <c r="X28" s="8">
        <f t="shared" si="0"/>
        <v>0</v>
      </c>
      <c r="AD28" s="8">
        <f t="shared" si="1"/>
        <v>0</v>
      </c>
      <c r="AE28" s="8">
        <f t="shared" si="2"/>
        <v>0</v>
      </c>
    </row>
    <row r="29" spans="1:31" x14ac:dyDescent="0.2">
      <c r="X29" s="8">
        <f t="shared" si="0"/>
        <v>0</v>
      </c>
      <c r="AD29" s="8">
        <f t="shared" si="1"/>
        <v>0</v>
      </c>
      <c r="AE29" s="8">
        <f t="shared" si="2"/>
        <v>0</v>
      </c>
    </row>
    <row r="30" spans="1:31" x14ac:dyDescent="0.2">
      <c r="X30" s="8">
        <f t="shared" si="0"/>
        <v>0</v>
      </c>
      <c r="AD30" s="8">
        <f t="shared" si="1"/>
        <v>0</v>
      </c>
      <c r="AE30" s="8">
        <f t="shared" si="2"/>
        <v>0</v>
      </c>
    </row>
    <row r="31" spans="1:31" x14ac:dyDescent="0.2">
      <c r="X31" s="8">
        <f t="shared" si="0"/>
        <v>0</v>
      </c>
      <c r="AD31" s="8">
        <f t="shared" si="1"/>
        <v>0</v>
      </c>
      <c r="AE31" s="8">
        <f t="shared" si="2"/>
        <v>0</v>
      </c>
    </row>
    <row r="32" spans="1:31" x14ac:dyDescent="0.2">
      <c r="X32" s="8">
        <f t="shared" si="0"/>
        <v>0</v>
      </c>
      <c r="AD32" s="8">
        <f t="shared" si="1"/>
        <v>0</v>
      </c>
      <c r="AE32" s="8">
        <f t="shared" si="2"/>
        <v>0</v>
      </c>
    </row>
    <row r="33" spans="24:31" x14ac:dyDescent="0.2">
      <c r="X33" s="8">
        <f t="shared" si="0"/>
        <v>0</v>
      </c>
      <c r="AD33" s="8">
        <f t="shared" si="1"/>
        <v>0</v>
      </c>
      <c r="AE33" s="8">
        <f t="shared" si="2"/>
        <v>0</v>
      </c>
    </row>
    <row r="34" spans="24:31" x14ac:dyDescent="0.2">
      <c r="X34" s="8">
        <f t="shared" si="0"/>
        <v>0</v>
      </c>
      <c r="AD34" s="8">
        <f t="shared" si="1"/>
        <v>0</v>
      </c>
      <c r="AE34" s="8">
        <f t="shared" si="2"/>
        <v>0</v>
      </c>
    </row>
    <row r="35" spans="24:31" x14ac:dyDescent="0.2">
      <c r="X35" s="8">
        <f t="shared" si="0"/>
        <v>0</v>
      </c>
      <c r="AD35" s="8">
        <f t="shared" si="1"/>
        <v>0</v>
      </c>
      <c r="AE35" s="8">
        <f t="shared" si="2"/>
        <v>0</v>
      </c>
    </row>
    <row r="36" spans="24:31" x14ac:dyDescent="0.2">
      <c r="X36" s="8">
        <f t="shared" si="0"/>
        <v>0</v>
      </c>
      <c r="AD36" s="8">
        <f t="shared" si="1"/>
        <v>0</v>
      </c>
      <c r="AE36" s="8">
        <f t="shared" si="2"/>
        <v>0</v>
      </c>
    </row>
    <row r="37" spans="24:31" x14ac:dyDescent="0.2">
      <c r="X37" s="8">
        <f t="shared" si="0"/>
        <v>0</v>
      </c>
      <c r="AD37" s="8">
        <f t="shared" si="1"/>
        <v>0</v>
      </c>
      <c r="AE37" s="8">
        <f t="shared" si="2"/>
        <v>0</v>
      </c>
    </row>
    <row r="38" spans="24:31" x14ac:dyDescent="0.2">
      <c r="X38" s="8">
        <f t="shared" si="0"/>
        <v>0</v>
      </c>
      <c r="AD38" s="8">
        <f t="shared" si="1"/>
        <v>0</v>
      </c>
      <c r="AE38" s="8">
        <f t="shared" si="2"/>
        <v>0</v>
      </c>
    </row>
    <row r="39" spans="24:31" x14ac:dyDescent="0.2">
      <c r="X39" s="8">
        <f t="shared" si="0"/>
        <v>0</v>
      </c>
      <c r="AD39" s="8">
        <f t="shared" si="1"/>
        <v>0</v>
      </c>
      <c r="AE39" s="8">
        <f t="shared" si="2"/>
        <v>0</v>
      </c>
    </row>
    <row r="40" spans="24:31" x14ac:dyDescent="0.2">
      <c r="X40" s="8">
        <f t="shared" si="0"/>
        <v>0</v>
      </c>
      <c r="AD40" s="8">
        <f t="shared" si="1"/>
        <v>0</v>
      </c>
      <c r="AE40" s="8">
        <f t="shared" si="2"/>
        <v>0</v>
      </c>
    </row>
    <row r="41" spans="24:31" x14ac:dyDescent="0.2">
      <c r="X41" s="8">
        <f t="shared" si="0"/>
        <v>0</v>
      </c>
      <c r="AD41" s="8">
        <f t="shared" si="1"/>
        <v>0</v>
      </c>
      <c r="AE41" s="8">
        <f t="shared" si="2"/>
        <v>0</v>
      </c>
    </row>
    <row r="42" spans="24:31" x14ac:dyDescent="0.2">
      <c r="X42" s="8">
        <f t="shared" si="0"/>
        <v>0</v>
      </c>
      <c r="AD42" s="8">
        <f t="shared" si="1"/>
        <v>0</v>
      </c>
      <c r="AE42" s="8">
        <f t="shared" si="2"/>
        <v>0</v>
      </c>
    </row>
  </sheetData>
  <mergeCells count="4">
    <mergeCell ref="A2:C2"/>
    <mergeCell ref="E2:X2"/>
    <mergeCell ref="Y2:AA2"/>
    <mergeCell ref="AB2:AE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A1D114-CD18-4986-B0A4-50ED3DA68955}">
          <x14:formula1>
            <xm:f>Hoja2!$B$4:$B$8</xm:f>
          </x14:formula1>
          <xm:sqref>C6:C42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7880-12C0-4FCA-898E-DAD5481B477F}">
  <dimension ref="B3:N38"/>
  <sheetViews>
    <sheetView tabSelected="1" topLeftCell="B1" zoomScale="145" zoomScaleNormal="145" workbookViewId="0">
      <selection activeCell="H10" sqref="H10"/>
    </sheetView>
  </sheetViews>
  <sheetFormatPr baseColWidth="10" defaultRowHeight="14.4" x14ac:dyDescent="0.3"/>
  <sheetData>
    <row r="3" spans="2:6" x14ac:dyDescent="0.3">
      <c r="B3" t="s">
        <v>13</v>
      </c>
    </row>
    <row r="4" spans="2:6" x14ac:dyDescent="0.3">
      <c r="B4" t="s">
        <v>8</v>
      </c>
    </row>
    <row r="5" spans="2:6" x14ac:dyDescent="0.3">
      <c r="B5" t="s">
        <v>9</v>
      </c>
    </row>
    <row r="6" spans="2:6" x14ac:dyDescent="0.3">
      <c r="B6" t="s">
        <v>10</v>
      </c>
    </row>
    <row r="7" spans="2:6" x14ac:dyDescent="0.3">
      <c r="B7" t="s">
        <v>11</v>
      </c>
    </row>
    <row r="8" spans="2:6" x14ac:dyDescent="0.3">
      <c r="B8" t="s">
        <v>12</v>
      </c>
    </row>
    <row r="15" spans="2:6" x14ac:dyDescent="0.3">
      <c r="B15" t="s">
        <v>37</v>
      </c>
      <c r="F15" t="s">
        <v>55</v>
      </c>
    </row>
    <row r="17" spans="2:14" x14ac:dyDescent="0.3">
      <c r="B17" s="31" t="s">
        <v>0</v>
      </c>
      <c r="C17" s="29">
        <v>46226</v>
      </c>
      <c r="F17" s="31" t="s">
        <v>0</v>
      </c>
      <c r="G17" s="28">
        <v>46226</v>
      </c>
    </row>
    <row r="18" spans="2:14" x14ac:dyDescent="0.3">
      <c r="B18" s="31" t="s">
        <v>4</v>
      </c>
      <c r="C18" s="30">
        <v>21590</v>
      </c>
      <c r="F18" s="31" t="s">
        <v>4</v>
      </c>
      <c r="G18">
        <v>556562</v>
      </c>
    </row>
    <row r="19" spans="2:14" x14ac:dyDescent="0.3">
      <c r="B19" s="31" t="s">
        <v>7</v>
      </c>
      <c r="C19" s="30" t="s">
        <v>53</v>
      </c>
      <c r="F19" s="31" t="s">
        <v>7</v>
      </c>
      <c r="G19" t="s">
        <v>53</v>
      </c>
    </row>
    <row r="20" spans="2:14" x14ac:dyDescent="0.3">
      <c r="B20" s="31" t="s">
        <v>1193</v>
      </c>
      <c r="C20" s="30" t="s">
        <v>1194</v>
      </c>
      <c r="F20" s="31" t="s">
        <v>1193</v>
      </c>
    </row>
    <row r="21" spans="2:14" x14ac:dyDescent="0.3">
      <c r="B21" s="31" t="s">
        <v>23</v>
      </c>
      <c r="C21" s="30" t="s">
        <v>82</v>
      </c>
      <c r="F21" s="31" t="s">
        <v>23</v>
      </c>
      <c r="G21" t="s">
        <v>38</v>
      </c>
    </row>
    <row r="22" spans="2:14" x14ac:dyDescent="0.3">
      <c r="B22" s="31" t="s">
        <v>22</v>
      </c>
      <c r="C22" s="30" t="s">
        <v>85</v>
      </c>
      <c r="F22" s="31" t="s">
        <v>22</v>
      </c>
    </row>
    <row r="23" spans="2:14" x14ac:dyDescent="0.3">
      <c r="B23" s="31" t="s">
        <v>39</v>
      </c>
      <c r="C23" s="30" t="s">
        <v>1192</v>
      </c>
      <c r="D23" t="s">
        <v>1191</v>
      </c>
      <c r="F23" s="31" t="s">
        <v>39</v>
      </c>
      <c r="G23" t="s">
        <v>54</v>
      </c>
    </row>
    <row r="24" spans="2:14" x14ac:dyDescent="0.3">
      <c r="B24" t="s">
        <v>40</v>
      </c>
      <c r="C24">
        <v>150</v>
      </c>
      <c r="D24" t="s">
        <v>24</v>
      </c>
      <c r="F24" t="s">
        <v>40</v>
      </c>
      <c r="G24">
        <v>50</v>
      </c>
      <c r="L24" t="s">
        <v>1195</v>
      </c>
      <c r="M24">
        <v>150</v>
      </c>
      <c r="N24" t="s">
        <v>1198</v>
      </c>
    </row>
    <row r="25" spans="2:14" x14ac:dyDescent="0.3">
      <c r="B25" t="s">
        <v>41</v>
      </c>
      <c r="C25">
        <v>160</v>
      </c>
      <c r="D25" t="s">
        <v>24</v>
      </c>
      <c r="F25" t="s">
        <v>41</v>
      </c>
      <c r="G25">
        <v>20</v>
      </c>
      <c r="L25" t="s">
        <v>1196</v>
      </c>
      <c r="M25">
        <v>100</v>
      </c>
      <c r="N25" t="s">
        <v>1199</v>
      </c>
    </row>
    <row r="26" spans="2:14" x14ac:dyDescent="0.3">
      <c r="B26" t="s">
        <v>42</v>
      </c>
      <c r="C26">
        <v>170</v>
      </c>
      <c r="D26" t="s">
        <v>24</v>
      </c>
      <c r="F26" t="s">
        <v>42</v>
      </c>
      <c r="G26">
        <v>100</v>
      </c>
      <c r="L26" t="s">
        <v>1197</v>
      </c>
      <c r="M26">
        <v>100</v>
      </c>
      <c r="N26" t="s">
        <v>1200</v>
      </c>
    </row>
    <row r="27" spans="2:14" x14ac:dyDescent="0.3">
      <c r="B27" t="s">
        <v>43</v>
      </c>
      <c r="C27">
        <v>150</v>
      </c>
      <c r="D27" t="s">
        <v>24</v>
      </c>
      <c r="F27" t="s">
        <v>43</v>
      </c>
    </row>
    <row r="28" spans="2:14" x14ac:dyDescent="0.3">
      <c r="B28" t="s">
        <v>44</v>
      </c>
      <c r="C28">
        <v>210</v>
      </c>
      <c r="D28" t="s">
        <v>24</v>
      </c>
      <c r="F28" t="s">
        <v>44</v>
      </c>
    </row>
    <row r="29" spans="2:14" x14ac:dyDescent="0.3">
      <c r="B29" t="s">
        <v>45</v>
      </c>
      <c r="F29" t="s">
        <v>45</v>
      </c>
    </row>
    <row r="30" spans="2:14" x14ac:dyDescent="0.3">
      <c r="B30" t="s">
        <v>46</v>
      </c>
      <c r="C30">
        <v>5000</v>
      </c>
      <c r="D30" t="s">
        <v>1190</v>
      </c>
      <c r="F30" t="s">
        <v>46</v>
      </c>
    </row>
    <row r="31" spans="2:14" x14ac:dyDescent="0.3">
      <c r="B31" t="s">
        <v>47</v>
      </c>
      <c r="C31">
        <v>10000</v>
      </c>
      <c r="D31" t="s">
        <v>1191</v>
      </c>
      <c r="F31" t="s">
        <v>47</v>
      </c>
    </row>
    <row r="32" spans="2:14" x14ac:dyDescent="0.3">
      <c r="B32" t="s">
        <v>48</v>
      </c>
      <c r="F32" t="s">
        <v>48</v>
      </c>
    </row>
    <row r="33" spans="2:7" x14ac:dyDescent="0.3">
      <c r="B33" t="s">
        <v>49</v>
      </c>
      <c r="F33" t="s">
        <v>49</v>
      </c>
    </row>
    <row r="34" spans="2:7" x14ac:dyDescent="0.3">
      <c r="B34" t="s">
        <v>50</v>
      </c>
      <c r="F34" t="s">
        <v>50</v>
      </c>
    </row>
    <row r="35" spans="2:7" x14ac:dyDescent="0.3">
      <c r="B35" t="s">
        <v>51</v>
      </c>
      <c r="F35" t="s">
        <v>51</v>
      </c>
    </row>
    <row r="38" spans="2:7" x14ac:dyDescent="0.3">
      <c r="C38" t="s">
        <v>52</v>
      </c>
      <c r="G38" t="s">
        <v>52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8847-1870-4323-8E91-1F3B356B228F}">
  <dimension ref="A2:B562"/>
  <sheetViews>
    <sheetView topLeftCell="A22" workbookViewId="0">
      <selection activeCell="A12" sqref="A12"/>
    </sheetView>
  </sheetViews>
  <sheetFormatPr baseColWidth="10" defaultRowHeight="14.4" x14ac:dyDescent="0.3"/>
  <cols>
    <col min="1" max="1" width="13.44140625" style="47" bestFit="1" customWidth="1"/>
    <col min="2" max="2" width="33.88671875" style="47" bestFit="1" customWidth="1"/>
  </cols>
  <sheetData>
    <row r="2" spans="1:2" x14ac:dyDescent="0.3">
      <c r="B2" s="47" t="s">
        <v>102</v>
      </c>
    </row>
    <row r="3" spans="1:2" x14ac:dyDescent="0.3">
      <c r="A3" s="47">
        <v>5</v>
      </c>
      <c r="B3" s="47" t="s">
        <v>103</v>
      </c>
    </row>
    <row r="5" spans="1:2" x14ac:dyDescent="0.3">
      <c r="A5" s="47" t="s">
        <v>104</v>
      </c>
      <c r="B5" s="47" t="s">
        <v>105</v>
      </c>
    </row>
    <row r="8" spans="1:2" x14ac:dyDescent="0.3">
      <c r="A8" s="47" t="s">
        <v>106</v>
      </c>
      <c r="B8" s="47" t="s">
        <v>107</v>
      </c>
    </row>
    <row r="9" spans="1:2" x14ac:dyDescent="0.3">
      <c r="A9" s="47" t="s">
        <v>108</v>
      </c>
      <c r="B9" s="47" t="s">
        <v>109</v>
      </c>
    </row>
    <row r="10" spans="1:2" x14ac:dyDescent="0.3">
      <c r="A10" s="47" t="s">
        <v>110</v>
      </c>
      <c r="B10" s="47" t="s">
        <v>111</v>
      </c>
    </row>
    <row r="11" spans="1:2" x14ac:dyDescent="0.3">
      <c r="A11" s="47" t="s">
        <v>112</v>
      </c>
      <c r="B11" s="47" t="s">
        <v>113</v>
      </c>
    </row>
    <row r="12" spans="1:2" x14ac:dyDescent="0.3">
      <c r="A12" s="47" t="s">
        <v>114</v>
      </c>
      <c r="B12" s="47" t="s">
        <v>115</v>
      </c>
    </row>
    <row r="13" spans="1:2" x14ac:dyDescent="0.3">
      <c r="A13" s="47" t="s">
        <v>116</v>
      </c>
      <c r="B13" s="47" t="s">
        <v>117</v>
      </c>
    </row>
    <row r="14" spans="1:2" x14ac:dyDescent="0.3">
      <c r="A14" s="47" t="s">
        <v>118</v>
      </c>
      <c r="B14" s="47" t="s">
        <v>119</v>
      </c>
    </row>
    <row r="15" spans="1:2" x14ac:dyDescent="0.3">
      <c r="A15" s="47" t="s">
        <v>120</v>
      </c>
      <c r="B15" s="47" t="s">
        <v>121</v>
      </c>
    </row>
    <row r="16" spans="1:2" x14ac:dyDescent="0.3">
      <c r="A16" s="47" t="s">
        <v>122</v>
      </c>
      <c r="B16" s="47" t="s">
        <v>123</v>
      </c>
    </row>
    <row r="17" spans="1:2" x14ac:dyDescent="0.3">
      <c r="A17" s="47" t="s">
        <v>124</v>
      </c>
      <c r="B17" s="47" t="s">
        <v>125</v>
      </c>
    </row>
    <row r="18" spans="1:2" x14ac:dyDescent="0.3">
      <c r="A18" s="47" t="s">
        <v>126</v>
      </c>
      <c r="B18" s="47" t="s">
        <v>127</v>
      </c>
    </row>
    <row r="19" spans="1:2" x14ac:dyDescent="0.3">
      <c r="A19" s="47" t="s">
        <v>128</v>
      </c>
      <c r="B19" s="47" t="s">
        <v>129</v>
      </c>
    </row>
    <row r="20" spans="1:2" x14ac:dyDescent="0.3">
      <c r="A20" s="47" t="s">
        <v>33</v>
      </c>
      <c r="B20" s="47" t="s">
        <v>130</v>
      </c>
    </row>
    <row r="21" spans="1:2" x14ac:dyDescent="0.3">
      <c r="A21" s="47" t="s">
        <v>131</v>
      </c>
      <c r="B21" s="47" t="s">
        <v>132</v>
      </c>
    </row>
    <row r="22" spans="1:2" x14ac:dyDescent="0.3">
      <c r="A22" s="47" t="s">
        <v>133</v>
      </c>
      <c r="B22" s="47" t="s">
        <v>134</v>
      </c>
    </row>
    <row r="23" spans="1:2" x14ac:dyDescent="0.3">
      <c r="A23" s="47" t="s">
        <v>135</v>
      </c>
      <c r="B23" s="47" t="s">
        <v>136</v>
      </c>
    </row>
    <row r="24" spans="1:2" x14ac:dyDescent="0.3">
      <c r="A24" s="47" t="s">
        <v>137</v>
      </c>
      <c r="B24" s="47" t="s">
        <v>138</v>
      </c>
    </row>
    <row r="25" spans="1:2" x14ac:dyDescent="0.3">
      <c r="A25" s="47" t="s">
        <v>139</v>
      </c>
      <c r="B25" s="47" t="s">
        <v>140</v>
      </c>
    </row>
    <row r="26" spans="1:2" x14ac:dyDescent="0.3">
      <c r="A26" s="47" t="s">
        <v>141</v>
      </c>
      <c r="B26" s="47" t="s">
        <v>142</v>
      </c>
    </row>
    <row r="27" spans="1:2" x14ac:dyDescent="0.3">
      <c r="A27" s="47" t="s">
        <v>143</v>
      </c>
      <c r="B27" s="47" t="s">
        <v>144</v>
      </c>
    </row>
    <row r="28" spans="1:2" x14ac:dyDescent="0.3">
      <c r="A28" s="47" t="s">
        <v>145</v>
      </c>
      <c r="B28" s="47" t="s">
        <v>146</v>
      </c>
    </row>
    <row r="29" spans="1:2" x14ac:dyDescent="0.3">
      <c r="A29" s="47" t="s">
        <v>147</v>
      </c>
      <c r="B29" s="47" t="s">
        <v>148</v>
      </c>
    </row>
    <row r="30" spans="1:2" x14ac:dyDescent="0.3">
      <c r="A30" s="47" t="s">
        <v>149</v>
      </c>
      <c r="B30" s="47" t="s">
        <v>150</v>
      </c>
    </row>
    <row r="31" spans="1:2" x14ac:dyDescent="0.3">
      <c r="A31" s="47" t="s">
        <v>151</v>
      </c>
      <c r="B31" s="47" t="s">
        <v>152</v>
      </c>
    </row>
    <row r="32" spans="1:2" x14ac:dyDescent="0.3">
      <c r="A32" s="47" t="s">
        <v>153</v>
      </c>
      <c r="B32" s="47" t="s">
        <v>154</v>
      </c>
    </row>
    <row r="33" spans="1:2" x14ac:dyDescent="0.3">
      <c r="A33" s="47" t="s">
        <v>155</v>
      </c>
      <c r="B33" s="47" t="s">
        <v>156</v>
      </c>
    </row>
    <row r="34" spans="1:2" x14ac:dyDescent="0.3">
      <c r="A34" s="47" t="s">
        <v>157</v>
      </c>
      <c r="B34" s="47" t="s">
        <v>158</v>
      </c>
    </row>
    <row r="35" spans="1:2" x14ac:dyDescent="0.3">
      <c r="A35" s="47" t="s">
        <v>159</v>
      </c>
      <c r="B35" s="47" t="s">
        <v>160</v>
      </c>
    </row>
    <row r="36" spans="1:2" x14ac:dyDescent="0.3">
      <c r="A36" s="47" t="s">
        <v>161</v>
      </c>
      <c r="B36" s="47" t="s">
        <v>162</v>
      </c>
    </row>
    <row r="37" spans="1:2" x14ac:dyDescent="0.3">
      <c r="A37" s="47" t="s">
        <v>163</v>
      </c>
      <c r="B37" s="47" t="s">
        <v>164</v>
      </c>
    </row>
    <row r="38" spans="1:2" x14ac:dyDescent="0.3">
      <c r="A38" s="47" t="s">
        <v>165</v>
      </c>
      <c r="B38" s="47" t="s">
        <v>166</v>
      </c>
    </row>
    <row r="39" spans="1:2" x14ac:dyDescent="0.3">
      <c r="A39" s="47" t="s">
        <v>167</v>
      </c>
      <c r="B39" s="47" t="s">
        <v>168</v>
      </c>
    </row>
    <row r="40" spans="1:2" x14ac:dyDescent="0.3">
      <c r="A40" s="47" t="s">
        <v>169</v>
      </c>
      <c r="B40" s="47" t="s">
        <v>170</v>
      </c>
    </row>
    <row r="41" spans="1:2" x14ac:dyDescent="0.3">
      <c r="A41" s="47" t="s">
        <v>91</v>
      </c>
      <c r="B41" s="47" t="s">
        <v>171</v>
      </c>
    </row>
    <row r="42" spans="1:2" x14ac:dyDescent="0.3">
      <c r="A42" s="47" t="s">
        <v>172</v>
      </c>
      <c r="B42" s="47" t="s">
        <v>173</v>
      </c>
    </row>
    <row r="43" spans="1:2" x14ac:dyDescent="0.3">
      <c r="A43" s="47" t="s">
        <v>174</v>
      </c>
      <c r="B43" s="47" t="s">
        <v>175</v>
      </c>
    </row>
    <row r="44" spans="1:2" x14ac:dyDescent="0.3">
      <c r="A44" s="47" t="s">
        <v>176</v>
      </c>
      <c r="B44" s="47" t="s">
        <v>177</v>
      </c>
    </row>
    <row r="45" spans="1:2" x14ac:dyDescent="0.3">
      <c r="A45" s="47" t="s">
        <v>178</v>
      </c>
      <c r="B45" s="47" t="s">
        <v>179</v>
      </c>
    </row>
    <row r="46" spans="1:2" x14ac:dyDescent="0.3">
      <c r="A46" s="47" t="s">
        <v>180</v>
      </c>
      <c r="B46" s="47" t="s">
        <v>181</v>
      </c>
    </row>
    <row r="47" spans="1:2" x14ac:dyDescent="0.3">
      <c r="A47" s="47" t="s">
        <v>98</v>
      </c>
      <c r="B47" s="47" t="s">
        <v>182</v>
      </c>
    </row>
    <row r="48" spans="1:2" x14ac:dyDescent="0.3">
      <c r="A48" s="47" t="s">
        <v>183</v>
      </c>
      <c r="B48" s="47" t="s">
        <v>184</v>
      </c>
    </row>
    <row r="49" spans="1:2" x14ac:dyDescent="0.3">
      <c r="A49" s="47" t="s">
        <v>185</v>
      </c>
      <c r="B49" s="47" t="s">
        <v>186</v>
      </c>
    </row>
    <row r="50" spans="1:2" x14ac:dyDescent="0.3">
      <c r="A50" s="47" t="s">
        <v>187</v>
      </c>
      <c r="B50" s="47" t="s">
        <v>188</v>
      </c>
    </row>
    <row r="51" spans="1:2" x14ac:dyDescent="0.3">
      <c r="A51" s="47" t="s">
        <v>189</v>
      </c>
      <c r="B51" s="47" t="s">
        <v>190</v>
      </c>
    </row>
    <row r="52" spans="1:2" x14ac:dyDescent="0.3">
      <c r="A52" s="47" t="s">
        <v>191</v>
      </c>
      <c r="B52" s="47" t="s">
        <v>192</v>
      </c>
    </row>
    <row r="53" spans="1:2" x14ac:dyDescent="0.3">
      <c r="A53" s="47" t="s">
        <v>193</v>
      </c>
      <c r="B53" s="47" t="s">
        <v>194</v>
      </c>
    </row>
    <row r="54" spans="1:2" x14ac:dyDescent="0.3">
      <c r="A54" s="47" t="s">
        <v>195</v>
      </c>
      <c r="B54" s="47" t="s">
        <v>196</v>
      </c>
    </row>
    <row r="55" spans="1:2" x14ac:dyDescent="0.3">
      <c r="A55" s="47" t="s">
        <v>197</v>
      </c>
      <c r="B55" s="47" t="s">
        <v>198</v>
      </c>
    </row>
    <row r="56" spans="1:2" x14ac:dyDescent="0.3">
      <c r="A56" s="47" t="s">
        <v>199</v>
      </c>
      <c r="B56" s="47" t="s">
        <v>200</v>
      </c>
    </row>
    <row r="57" spans="1:2" x14ac:dyDescent="0.3">
      <c r="A57" s="47" t="s">
        <v>201</v>
      </c>
      <c r="B57" s="47" t="s">
        <v>202</v>
      </c>
    </row>
    <row r="58" spans="1:2" x14ac:dyDescent="0.3">
      <c r="A58" s="47" t="s">
        <v>203</v>
      </c>
      <c r="B58" s="47" t="s">
        <v>204</v>
      </c>
    </row>
    <row r="59" spans="1:2" x14ac:dyDescent="0.3">
      <c r="A59" s="47" t="s">
        <v>205</v>
      </c>
      <c r="B59" s="47" t="s">
        <v>206</v>
      </c>
    </row>
    <row r="60" spans="1:2" x14ac:dyDescent="0.3">
      <c r="A60" s="47" t="s">
        <v>207</v>
      </c>
      <c r="B60" s="47" t="s">
        <v>208</v>
      </c>
    </row>
    <row r="61" spans="1:2" x14ac:dyDescent="0.3">
      <c r="A61" s="47" t="s">
        <v>209</v>
      </c>
      <c r="B61" s="47" t="s">
        <v>210</v>
      </c>
    </row>
    <row r="62" spans="1:2" x14ac:dyDescent="0.3">
      <c r="A62" s="47" t="s">
        <v>211</v>
      </c>
      <c r="B62" s="47" t="s">
        <v>212</v>
      </c>
    </row>
    <row r="63" spans="1:2" x14ac:dyDescent="0.3">
      <c r="A63" s="47" t="s">
        <v>213</v>
      </c>
      <c r="B63" s="47" t="s">
        <v>214</v>
      </c>
    </row>
    <row r="64" spans="1:2" x14ac:dyDescent="0.3">
      <c r="A64" s="47" t="s">
        <v>215</v>
      </c>
      <c r="B64" s="47" t="s">
        <v>216</v>
      </c>
    </row>
    <row r="65" spans="1:2" x14ac:dyDescent="0.3">
      <c r="A65" s="47" t="s">
        <v>217</v>
      </c>
      <c r="B65" s="47" t="s">
        <v>218</v>
      </c>
    </row>
    <row r="66" spans="1:2" x14ac:dyDescent="0.3">
      <c r="A66" s="47" t="s">
        <v>219</v>
      </c>
      <c r="B66" s="47" t="s">
        <v>220</v>
      </c>
    </row>
    <row r="67" spans="1:2" x14ac:dyDescent="0.3">
      <c r="A67" s="47" t="s">
        <v>221</v>
      </c>
      <c r="B67" s="47" t="s">
        <v>222</v>
      </c>
    </row>
    <row r="68" spans="1:2" x14ac:dyDescent="0.3">
      <c r="A68" s="47" t="s">
        <v>223</v>
      </c>
      <c r="B68" s="47" t="s">
        <v>224</v>
      </c>
    </row>
    <row r="69" spans="1:2" x14ac:dyDescent="0.3">
      <c r="A69" s="47" t="s">
        <v>225</v>
      </c>
      <c r="B69" s="47" t="s">
        <v>226</v>
      </c>
    </row>
    <row r="70" spans="1:2" x14ac:dyDescent="0.3">
      <c r="A70" s="47" t="s">
        <v>227</v>
      </c>
      <c r="B70" s="47" t="s">
        <v>228</v>
      </c>
    </row>
    <row r="71" spans="1:2" x14ac:dyDescent="0.3">
      <c r="A71" s="47" t="s">
        <v>229</v>
      </c>
      <c r="B71" s="47" t="s">
        <v>230</v>
      </c>
    </row>
    <row r="72" spans="1:2" x14ac:dyDescent="0.3">
      <c r="A72" s="47" t="s">
        <v>231</v>
      </c>
      <c r="B72" s="47" t="s">
        <v>232</v>
      </c>
    </row>
    <row r="73" spans="1:2" x14ac:dyDescent="0.3">
      <c r="A73" s="47" t="s">
        <v>233</v>
      </c>
      <c r="B73" s="47" t="s">
        <v>234</v>
      </c>
    </row>
    <row r="74" spans="1:2" x14ac:dyDescent="0.3">
      <c r="A74" s="47" t="s">
        <v>235</v>
      </c>
      <c r="B74" s="47" t="s">
        <v>236</v>
      </c>
    </row>
    <row r="75" spans="1:2" x14ac:dyDescent="0.3">
      <c r="A75" s="47" t="s">
        <v>237</v>
      </c>
      <c r="B75" s="47" t="s">
        <v>238</v>
      </c>
    </row>
    <row r="76" spans="1:2" x14ac:dyDescent="0.3">
      <c r="A76" s="47" t="s">
        <v>239</v>
      </c>
      <c r="B76" s="47" t="s">
        <v>240</v>
      </c>
    </row>
    <row r="77" spans="1:2" x14ac:dyDescent="0.3">
      <c r="A77" s="47" t="s">
        <v>241</v>
      </c>
      <c r="B77" s="47" t="s">
        <v>242</v>
      </c>
    </row>
    <row r="78" spans="1:2" x14ac:dyDescent="0.3">
      <c r="A78" s="47" t="s">
        <v>243</v>
      </c>
      <c r="B78" s="47" t="s">
        <v>244</v>
      </c>
    </row>
    <row r="79" spans="1:2" x14ac:dyDescent="0.3">
      <c r="A79" s="47" t="s">
        <v>245</v>
      </c>
      <c r="B79" s="47" t="s">
        <v>246</v>
      </c>
    </row>
    <row r="80" spans="1:2" x14ac:dyDescent="0.3">
      <c r="A80" s="47" t="s">
        <v>247</v>
      </c>
      <c r="B80" s="47" t="s">
        <v>248</v>
      </c>
    </row>
    <row r="81" spans="1:2" x14ac:dyDescent="0.3">
      <c r="A81" s="47" t="s">
        <v>249</v>
      </c>
      <c r="B81" s="47" t="s">
        <v>250</v>
      </c>
    </row>
    <row r="82" spans="1:2" x14ac:dyDescent="0.3">
      <c r="A82" s="47" t="s">
        <v>251</v>
      </c>
      <c r="B82" s="47" t="s">
        <v>252</v>
      </c>
    </row>
    <row r="83" spans="1:2" x14ac:dyDescent="0.3">
      <c r="A83" s="47" t="s">
        <v>253</v>
      </c>
      <c r="B83" s="47" t="s">
        <v>254</v>
      </c>
    </row>
    <row r="84" spans="1:2" x14ac:dyDescent="0.3">
      <c r="A84" s="47" t="s">
        <v>255</v>
      </c>
      <c r="B84" s="47" t="s">
        <v>256</v>
      </c>
    </row>
    <row r="85" spans="1:2" x14ac:dyDescent="0.3">
      <c r="A85" s="47" t="s">
        <v>257</v>
      </c>
      <c r="B85" s="47" t="s">
        <v>258</v>
      </c>
    </row>
    <row r="86" spans="1:2" x14ac:dyDescent="0.3">
      <c r="A86" s="47" t="s">
        <v>259</v>
      </c>
      <c r="B86" s="47" t="s">
        <v>260</v>
      </c>
    </row>
    <row r="87" spans="1:2" x14ac:dyDescent="0.3">
      <c r="A87" s="47" t="s">
        <v>261</v>
      </c>
      <c r="B87" s="47" t="s">
        <v>262</v>
      </c>
    </row>
    <row r="88" spans="1:2" x14ac:dyDescent="0.3">
      <c r="A88" s="47" t="s">
        <v>263</v>
      </c>
      <c r="B88" s="47" t="s">
        <v>264</v>
      </c>
    </row>
    <row r="89" spans="1:2" x14ac:dyDescent="0.3">
      <c r="A89" s="47" t="s">
        <v>265</v>
      </c>
      <c r="B89" s="47" t="s">
        <v>266</v>
      </c>
    </row>
    <row r="90" spans="1:2" x14ac:dyDescent="0.3">
      <c r="A90" s="47" t="s">
        <v>267</v>
      </c>
      <c r="B90" s="47" t="s">
        <v>268</v>
      </c>
    </row>
    <row r="91" spans="1:2" x14ac:dyDescent="0.3">
      <c r="A91" s="47" t="s">
        <v>269</v>
      </c>
      <c r="B91" s="47" t="s">
        <v>270</v>
      </c>
    </row>
    <row r="92" spans="1:2" x14ac:dyDescent="0.3">
      <c r="A92" s="47" t="s">
        <v>271</v>
      </c>
      <c r="B92" s="47" t="s">
        <v>272</v>
      </c>
    </row>
    <row r="93" spans="1:2" x14ac:dyDescent="0.3">
      <c r="A93" s="47" t="s">
        <v>273</v>
      </c>
      <c r="B93" s="47" t="s">
        <v>274</v>
      </c>
    </row>
    <row r="94" spans="1:2" x14ac:dyDescent="0.3">
      <c r="A94" s="47" t="s">
        <v>275</v>
      </c>
      <c r="B94" s="47" t="s">
        <v>276</v>
      </c>
    </row>
    <row r="95" spans="1:2" x14ac:dyDescent="0.3">
      <c r="A95" s="47" t="s">
        <v>277</v>
      </c>
      <c r="B95" s="47" t="s">
        <v>278</v>
      </c>
    </row>
    <row r="96" spans="1:2" x14ac:dyDescent="0.3">
      <c r="A96" s="47" t="s">
        <v>279</v>
      </c>
      <c r="B96" s="47" t="s">
        <v>280</v>
      </c>
    </row>
    <row r="97" spans="1:2" x14ac:dyDescent="0.3">
      <c r="A97" s="47" t="s">
        <v>281</v>
      </c>
      <c r="B97" s="47" t="s">
        <v>282</v>
      </c>
    </row>
    <row r="98" spans="1:2" x14ac:dyDescent="0.3">
      <c r="A98" s="47" t="s">
        <v>283</v>
      </c>
      <c r="B98" s="47" t="s">
        <v>284</v>
      </c>
    </row>
    <row r="99" spans="1:2" x14ac:dyDescent="0.3">
      <c r="A99" s="47" t="s">
        <v>285</v>
      </c>
      <c r="B99" s="47" t="s">
        <v>286</v>
      </c>
    </row>
    <row r="100" spans="1:2" x14ac:dyDescent="0.3">
      <c r="A100" s="47" t="s">
        <v>101</v>
      </c>
      <c r="B100" s="47" t="s">
        <v>287</v>
      </c>
    </row>
    <row r="101" spans="1:2" x14ac:dyDescent="0.3">
      <c r="A101" s="47" t="s">
        <v>288</v>
      </c>
      <c r="B101" s="47" t="s">
        <v>289</v>
      </c>
    </row>
    <row r="102" spans="1:2" x14ac:dyDescent="0.3">
      <c r="A102" s="47" t="s">
        <v>290</v>
      </c>
      <c r="B102" s="47" t="s">
        <v>291</v>
      </c>
    </row>
    <row r="103" spans="1:2" x14ac:dyDescent="0.3">
      <c r="A103" s="47" t="s">
        <v>292</v>
      </c>
      <c r="B103" s="47" t="s">
        <v>293</v>
      </c>
    </row>
    <row r="104" spans="1:2" x14ac:dyDescent="0.3">
      <c r="A104" s="47" t="s">
        <v>35</v>
      </c>
      <c r="B104" s="47" t="s">
        <v>294</v>
      </c>
    </row>
    <row r="105" spans="1:2" x14ac:dyDescent="0.3">
      <c r="A105" s="47" t="s">
        <v>295</v>
      </c>
      <c r="B105" s="47" t="s">
        <v>296</v>
      </c>
    </row>
    <row r="106" spans="1:2" x14ac:dyDescent="0.3">
      <c r="A106" s="47" t="s">
        <v>297</v>
      </c>
      <c r="B106" s="47" t="s">
        <v>298</v>
      </c>
    </row>
    <row r="107" spans="1:2" x14ac:dyDescent="0.3">
      <c r="A107" s="47" t="s">
        <v>5</v>
      </c>
      <c r="B107" s="47" t="s">
        <v>299</v>
      </c>
    </row>
    <row r="108" spans="1:2" x14ac:dyDescent="0.3">
      <c r="A108" s="47" t="s">
        <v>300</v>
      </c>
      <c r="B108" s="47" t="s">
        <v>301</v>
      </c>
    </row>
    <row r="109" spans="1:2" x14ac:dyDescent="0.3">
      <c r="A109" s="47" t="s">
        <v>302</v>
      </c>
      <c r="B109" s="47" t="s">
        <v>303</v>
      </c>
    </row>
    <row r="110" spans="1:2" x14ac:dyDescent="0.3">
      <c r="A110" s="47" t="s">
        <v>304</v>
      </c>
      <c r="B110" s="47" t="s">
        <v>305</v>
      </c>
    </row>
    <row r="111" spans="1:2" x14ac:dyDescent="0.3">
      <c r="A111" s="47" t="s">
        <v>306</v>
      </c>
      <c r="B111" s="47" t="s">
        <v>307</v>
      </c>
    </row>
    <row r="112" spans="1:2" x14ac:dyDescent="0.3">
      <c r="A112" s="47" t="s">
        <v>308</v>
      </c>
      <c r="B112" s="47" t="s">
        <v>309</v>
      </c>
    </row>
    <row r="113" spans="1:2" x14ac:dyDescent="0.3">
      <c r="A113" s="47" t="s">
        <v>310</v>
      </c>
      <c r="B113" s="47" t="s">
        <v>311</v>
      </c>
    </row>
    <row r="114" spans="1:2" x14ac:dyDescent="0.3">
      <c r="A114" s="47" t="s">
        <v>312</v>
      </c>
      <c r="B114" s="47" t="s">
        <v>313</v>
      </c>
    </row>
    <row r="115" spans="1:2" x14ac:dyDescent="0.3">
      <c r="A115" s="47" t="s">
        <v>314</v>
      </c>
      <c r="B115" s="47" t="s">
        <v>315</v>
      </c>
    </row>
    <row r="116" spans="1:2" x14ac:dyDescent="0.3">
      <c r="A116" s="47" t="s">
        <v>316</v>
      </c>
      <c r="B116" s="47" t="s">
        <v>317</v>
      </c>
    </row>
    <row r="117" spans="1:2" x14ac:dyDescent="0.3">
      <c r="A117" s="47" t="s">
        <v>15</v>
      </c>
      <c r="B117" s="47" t="s">
        <v>318</v>
      </c>
    </row>
    <row r="118" spans="1:2" x14ac:dyDescent="0.3">
      <c r="A118" s="47" t="s">
        <v>319</v>
      </c>
      <c r="B118" s="47" t="s">
        <v>320</v>
      </c>
    </row>
    <row r="119" spans="1:2" x14ac:dyDescent="0.3">
      <c r="A119" s="47" t="s">
        <v>321</v>
      </c>
      <c r="B119" s="47" t="s">
        <v>322</v>
      </c>
    </row>
    <row r="120" spans="1:2" x14ac:dyDescent="0.3">
      <c r="A120" s="47" t="s">
        <v>323</v>
      </c>
      <c r="B120" s="47" t="s">
        <v>324</v>
      </c>
    </row>
    <row r="121" spans="1:2" x14ac:dyDescent="0.3">
      <c r="A121" s="47" t="s">
        <v>325</v>
      </c>
      <c r="B121" s="47" t="s">
        <v>326</v>
      </c>
    </row>
    <row r="122" spans="1:2" x14ac:dyDescent="0.3">
      <c r="A122" s="47" t="s">
        <v>327</v>
      </c>
      <c r="B122" s="47" t="s">
        <v>328</v>
      </c>
    </row>
    <row r="123" spans="1:2" x14ac:dyDescent="0.3">
      <c r="A123" s="47" t="s">
        <v>329</v>
      </c>
      <c r="B123" s="47" t="s">
        <v>330</v>
      </c>
    </row>
    <row r="124" spans="1:2" x14ac:dyDescent="0.3">
      <c r="A124" s="47" t="s">
        <v>331</v>
      </c>
      <c r="B124" s="47" t="s">
        <v>332</v>
      </c>
    </row>
    <row r="125" spans="1:2" x14ac:dyDescent="0.3">
      <c r="A125" s="47" t="s">
        <v>333</v>
      </c>
      <c r="B125" s="47" t="s">
        <v>334</v>
      </c>
    </row>
    <row r="126" spans="1:2" x14ac:dyDescent="0.3">
      <c r="A126" s="47" t="s">
        <v>335</v>
      </c>
      <c r="B126" s="47" t="s">
        <v>336</v>
      </c>
    </row>
    <row r="127" spans="1:2" x14ac:dyDescent="0.3">
      <c r="A127" s="47" t="s">
        <v>337</v>
      </c>
      <c r="B127" s="47" t="s">
        <v>336</v>
      </c>
    </row>
    <row r="128" spans="1:2" x14ac:dyDescent="0.3">
      <c r="A128" s="47" t="s">
        <v>338</v>
      </c>
      <c r="B128" s="47" t="s">
        <v>339</v>
      </c>
    </row>
    <row r="129" spans="1:2" x14ac:dyDescent="0.3">
      <c r="A129" s="47" t="s">
        <v>340</v>
      </c>
      <c r="B129" s="47" t="s">
        <v>341</v>
      </c>
    </row>
    <row r="130" spans="1:2" x14ac:dyDescent="0.3">
      <c r="A130" s="47" t="s">
        <v>342</v>
      </c>
      <c r="B130" s="47" t="s">
        <v>343</v>
      </c>
    </row>
    <row r="131" spans="1:2" x14ac:dyDescent="0.3">
      <c r="A131" s="47" t="s">
        <v>344</v>
      </c>
      <c r="B131" s="47" t="s">
        <v>345</v>
      </c>
    </row>
    <row r="132" spans="1:2" x14ac:dyDescent="0.3">
      <c r="A132" s="47" t="s">
        <v>346</v>
      </c>
      <c r="B132" s="47" t="s">
        <v>347</v>
      </c>
    </row>
    <row r="133" spans="1:2" x14ac:dyDescent="0.3">
      <c r="A133" s="47" t="s">
        <v>348</v>
      </c>
      <c r="B133" s="47" t="s">
        <v>349</v>
      </c>
    </row>
    <row r="134" spans="1:2" x14ac:dyDescent="0.3">
      <c r="A134" s="47" t="s">
        <v>350</v>
      </c>
      <c r="B134" s="47" t="s">
        <v>351</v>
      </c>
    </row>
    <row r="135" spans="1:2" x14ac:dyDescent="0.3">
      <c r="A135" s="47" t="s">
        <v>352</v>
      </c>
      <c r="B135" s="47" t="s">
        <v>353</v>
      </c>
    </row>
    <row r="136" spans="1:2" x14ac:dyDescent="0.3">
      <c r="A136" s="47" t="s">
        <v>354</v>
      </c>
      <c r="B136" s="47" t="s">
        <v>355</v>
      </c>
    </row>
    <row r="137" spans="1:2" x14ac:dyDescent="0.3">
      <c r="A137" s="47" t="s">
        <v>356</v>
      </c>
      <c r="B137" s="47" t="s">
        <v>357</v>
      </c>
    </row>
    <row r="138" spans="1:2" x14ac:dyDescent="0.3">
      <c r="A138" s="47" t="s">
        <v>358</v>
      </c>
      <c r="B138" s="47" t="s">
        <v>359</v>
      </c>
    </row>
    <row r="139" spans="1:2" x14ac:dyDescent="0.3">
      <c r="A139" s="47" t="s">
        <v>360</v>
      </c>
      <c r="B139" s="47" t="s">
        <v>361</v>
      </c>
    </row>
    <row r="140" spans="1:2" x14ac:dyDescent="0.3">
      <c r="A140" s="47" t="s">
        <v>362</v>
      </c>
      <c r="B140" s="47" t="s">
        <v>363</v>
      </c>
    </row>
    <row r="141" spans="1:2" x14ac:dyDescent="0.3">
      <c r="A141" s="47" t="s">
        <v>364</v>
      </c>
      <c r="B141" s="47" t="s">
        <v>365</v>
      </c>
    </row>
    <row r="142" spans="1:2" x14ac:dyDescent="0.3">
      <c r="A142" s="47" t="s">
        <v>366</v>
      </c>
      <c r="B142" s="47" t="s">
        <v>367</v>
      </c>
    </row>
    <row r="143" spans="1:2" x14ac:dyDescent="0.3">
      <c r="A143" s="47" t="s">
        <v>368</v>
      </c>
      <c r="B143" s="47" t="s">
        <v>369</v>
      </c>
    </row>
    <row r="144" spans="1:2" x14ac:dyDescent="0.3">
      <c r="A144" s="47" t="s">
        <v>370</v>
      </c>
      <c r="B144" s="47" t="s">
        <v>371</v>
      </c>
    </row>
    <row r="145" spans="1:2" x14ac:dyDescent="0.3">
      <c r="A145" s="47" t="s">
        <v>372</v>
      </c>
      <c r="B145" s="47" t="s">
        <v>373</v>
      </c>
    </row>
    <row r="146" spans="1:2" x14ac:dyDescent="0.3">
      <c r="A146" s="47" t="s">
        <v>374</v>
      </c>
      <c r="B146" s="47" t="s">
        <v>375</v>
      </c>
    </row>
    <row r="147" spans="1:2" x14ac:dyDescent="0.3">
      <c r="A147" s="47" t="s">
        <v>376</v>
      </c>
      <c r="B147" s="47" t="s">
        <v>377</v>
      </c>
    </row>
    <row r="148" spans="1:2" x14ac:dyDescent="0.3">
      <c r="A148" s="47" t="s">
        <v>378</v>
      </c>
      <c r="B148" s="47" t="s">
        <v>379</v>
      </c>
    </row>
    <row r="149" spans="1:2" x14ac:dyDescent="0.3">
      <c r="A149" s="47" t="s">
        <v>380</v>
      </c>
      <c r="B149" s="47" t="s">
        <v>381</v>
      </c>
    </row>
    <row r="150" spans="1:2" x14ac:dyDescent="0.3">
      <c r="A150" s="47" t="s">
        <v>382</v>
      </c>
      <c r="B150" s="47" t="s">
        <v>383</v>
      </c>
    </row>
    <row r="151" spans="1:2" x14ac:dyDescent="0.3">
      <c r="A151" s="47" t="s">
        <v>384</v>
      </c>
      <c r="B151" s="47" t="s">
        <v>385</v>
      </c>
    </row>
    <row r="152" spans="1:2" x14ac:dyDescent="0.3">
      <c r="A152" s="47" t="s">
        <v>386</v>
      </c>
      <c r="B152" s="47" t="s">
        <v>387</v>
      </c>
    </row>
    <row r="153" spans="1:2" x14ac:dyDescent="0.3">
      <c r="A153" s="47" t="s">
        <v>388</v>
      </c>
      <c r="B153" s="47" t="s">
        <v>389</v>
      </c>
    </row>
    <row r="154" spans="1:2" x14ac:dyDescent="0.3">
      <c r="A154" s="47" t="s">
        <v>390</v>
      </c>
      <c r="B154" s="47" t="s">
        <v>391</v>
      </c>
    </row>
    <row r="155" spans="1:2" x14ac:dyDescent="0.3">
      <c r="A155" s="47" t="s">
        <v>392</v>
      </c>
      <c r="B155" s="47" t="s">
        <v>393</v>
      </c>
    </row>
    <row r="156" spans="1:2" x14ac:dyDescent="0.3">
      <c r="A156" s="47" t="s">
        <v>394</v>
      </c>
      <c r="B156" s="47" t="s">
        <v>395</v>
      </c>
    </row>
    <row r="157" spans="1:2" x14ac:dyDescent="0.3">
      <c r="A157" s="47" t="s">
        <v>396</v>
      </c>
      <c r="B157" s="47" t="s">
        <v>397</v>
      </c>
    </row>
    <row r="158" spans="1:2" x14ac:dyDescent="0.3">
      <c r="A158" s="47" t="s">
        <v>398</v>
      </c>
      <c r="B158" s="47" t="s">
        <v>399</v>
      </c>
    </row>
    <row r="159" spans="1:2" x14ac:dyDescent="0.3">
      <c r="A159" s="47" t="s">
        <v>400</v>
      </c>
      <c r="B159" s="47" t="s">
        <v>401</v>
      </c>
    </row>
    <row r="160" spans="1:2" x14ac:dyDescent="0.3">
      <c r="A160" s="47" t="s">
        <v>402</v>
      </c>
      <c r="B160" s="47" t="s">
        <v>403</v>
      </c>
    </row>
    <row r="161" spans="1:2" x14ac:dyDescent="0.3">
      <c r="A161" s="47" t="s">
        <v>404</v>
      </c>
      <c r="B161" s="47" t="s">
        <v>405</v>
      </c>
    </row>
    <row r="162" spans="1:2" x14ac:dyDescent="0.3">
      <c r="A162" s="47" t="s">
        <v>406</v>
      </c>
      <c r="B162" s="47" t="s">
        <v>407</v>
      </c>
    </row>
    <row r="163" spans="1:2" x14ac:dyDescent="0.3">
      <c r="A163" s="47" t="s">
        <v>408</v>
      </c>
      <c r="B163" s="47" t="s">
        <v>409</v>
      </c>
    </row>
    <row r="164" spans="1:2" x14ac:dyDescent="0.3">
      <c r="A164" s="47" t="s">
        <v>410</v>
      </c>
      <c r="B164" s="47" t="s">
        <v>411</v>
      </c>
    </row>
    <row r="165" spans="1:2" x14ac:dyDescent="0.3">
      <c r="A165" s="47" t="s">
        <v>412</v>
      </c>
      <c r="B165" s="47" t="s">
        <v>413</v>
      </c>
    </row>
    <row r="166" spans="1:2" x14ac:dyDescent="0.3">
      <c r="A166" s="47" t="s">
        <v>414</v>
      </c>
      <c r="B166" s="47" t="s">
        <v>415</v>
      </c>
    </row>
    <row r="167" spans="1:2" x14ac:dyDescent="0.3">
      <c r="A167" s="47" t="s">
        <v>416</v>
      </c>
      <c r="B167" s="47" t="s">
        <v>417</v>
      </c>
    </row>
    <row r="168" spans="1:2" x14ac:dyDescent="0.3">
      <c r="A168" s="47" t="s">
        <v>418</v>
      </c>
      <c r="B168" s="47" t="s">
        <v>419</v>
      </c>
    </row>
    <row r="169" spans="1:2" x14ac:dyDescent="0.3">
      <c r="A169" s="47" t="s">
        <v>420</v>
      </c>
      <c r="B169" s="47" t="s">
        <v>421</v>
      </c>
    </row>
    <row r="170" spans="1:2" x14ac:dyDescent="0.3">
      <c r="A170" s="47" t="s">
        <v>422</v>
      </c>
      <c r="B170" s="47" t="s">
        <v>423</v>
      </c>
    </row>
    <row r="171" spans="1:2" x14ac:dyDescent="0.3">
      <c r="A171" s="47" t="s">
        <v>424</v>
      </c>
      <c r="B171" s="47" t="s">
        <v>425</v>
      </c>
    </row>
    <row r="172" spans="1:2" x14ac:dyDescent="0.3">
      <c r="A172" s="47" t="s">
        <v>426</v>
      </c>
      <c r="B172" s="47" t="s">
        <v>427</v>
      </c>
    </row>
    <row r="173" spans="1:2" x14ac:dyDescent="0.3">
      <c r="A173" s="47" t="s">
        <v>428</v>
      </c>
      <c r="B173" s="47" t="s">
        <v>429</v>
      </c>
    </row>
    <row r="174" spans="1:2" x14ac:dyDescent="0.3">
      <c r="A174" s="47" t="s">
        <v>430</v>
      </c>
      <c r="B174" s="47" t="s">
        <v>431</v>
      </c>
    </row>
    <row r="175" spans="1:2" x14ac:dyDescent="0.3">
      <c r="A175" s="47" t="s">
        <v>432</v>
      </c>
      <c r="B175" s="47" t="s">
        <v>433</v>
      </c>
    </row>
    <row r="176" spans="1:2" x14ac:dyDescent="0.3">
      <c r="A176" s="47" t="s">
        <v>434</v>
      </c>
      <c r="B176" s="47" t="s">
        <v>435</v>
      </c>
    </row>
    <row r="177" spans="1:2" x14ac:dyDescent="0.3">
      <c r="A177" s="47" t="s">
        <v>436</v>
      </c>
      <c r="B177" s="47" t="s">
        <v>437</v>
      </c>
    </row>
    <row r="178" spans="1:2" x14ac:dyDescent="0.3">
      <c r="A178" s="47" t="s">
        <v>438</v>
      </c>
      <c r="B178" s="47" t="s">
        <v>439</v>
      </c>
    </row>
    <row r="179" spans="1:2" x14ac:dyDescent="0.3">
      <c r="A179" s="47" t="s">
        <v>440</v>
      </c>
      <c r="B179" s="47" t="s">
        <v>441</v>
      </c>
    </row>
    <row r="180" spans="1:2" x14ac:dyDescent="0.3">
      <c r="A180" s="47" t="s">
        <v>442</v>
      </c>
      <c r="B180" s="47" t="s">
        <v>443</v>
      </c>
    </row>
    <row r="181" spans="1:2" x14ac:dyDescent="0.3">
      <c r="A181" s="47" t="s">
        <v>444</v>
      </c>
      <c r="B181" s="47" t="s">
        <v>445</v>
      </c>
    </row>
    <row r="182" spans="1:2" x14ac:dyDescent="0.3">
      <c r="A182" s="47" t="s">
        <v>446</v>
      </c>
      <c r="B182" s="47" t="s">
        <v>447</v>
      </c>
    </row>
    <row r="183" spans="1:2" x14ac:dyDescent="0.3">
      <c r="A183" s="47" t="s">
        <v>448</v>
      </c>
      <c r="B183" s="47" t="s">
        <v>449</v>
      </c>
    </row>
    <row r="184" spans="1:2" x14ac:dyDescent="0.3">
      <c r="A184" s="47" t="s">
        <v>450</v>
      </c>
      <c r="B184" s="47" t="s">
        <v>451</v>
      </c>
    </row>
    <row r="185" spans="1:2" x14ac:dyDescent="0.3">
      <c r="A185" s="47" t="s">
        <v>452</v>
      </c>
      <c r="B185" s="47" t="s">
        <v>453</v>
      </c>
    </row>
    <row r="186" spans="1:2" x14ac:dyDescent="0.3">
      <c r="A186" s="47" t="s">
        <v>454</v>
      </c>
      <c r="B186" s="47" t="s">
        <v>455</v>
      </c>
    </row>
    <row r="187" spans="1:2" x14ac:dyDescent="0.3">
      <c r="A187" s="47" t="s">
        <v>456</v>
      </c>
      <c r="B187" s="47" t="s">
        <v>457</v>
      </c>
    </row>
    <row r="188" spans="1:2" x14ac:dyDescent="0.3">
      <c r="A188" s="47" t="s">
        <v>458</v>
      </c>
      <c r="B188" s="47" t="s">
        <v>459</v>
      </c>
    </row>
    <row r="189" spans="1:2" x14ac:dyDescent="0.3">
      <c r="A189" s="47" t="s">
        <v>460</v>
      </c>
      <c r="B189" s="47" t="s">
        <v>461</v>
      </c>
    </row>
    <row r="190" spans="1:2" x14ac:dyDescent="0.3">
      <c r="A190" s="47" t="s">
        <v>462</v>
      </c>
      <c r="B190" s="47" t="s">
        <v>463</v>
      </c>
    </row>
    <row r="191" spans="1:2" x14ac:dyDescent="0.3">
      <c r="A191" s="47" t="s">
        <v>464</v>
      </c>
      <c r="B191" s="47" t="s">
        <v>465</v>
      </c>
    </row>
    <row r="192" spans="1:2" x14ac:dyDescent="0.3">
      <c r="A192" s="47" t="s">
        <v>466</v>
      </c>
      <c r="B192" s="47" t="s">
        <v>467</v>
      </c>
    </row>
    <row r="193" spans="1:2" x14ac:dyDescent="0.3">
      <c r="A193" s="47" t="s">
        <v>468</v>
      </c>
      <c r="B193" s="47" t="s">
        <v>469</v>
      </c>
    </row>
    <row r="194" spans="1:2" x14ac:dyDescent="0.3">
      <c r="A194" s="47" t="s">
        <v>470</v>
      </c>
      <c r="B194" s="47" t="s">
        <v>471</v>
      </c>
    </row>
    <row r="195" spans="1:2" x14ac:dyDescent="0.3">
      <c r="A195" s="47" t="s">
        <v>472</v>
      </c>
      <c r="B195" s="47" t="s">
        <v>473</v>
      </c>
    </row>
    <row r="196" spans="1:2" x14ac:dyDescent="0.3">
      <c r="A196" s="47" t="s">
        <v>474</v>
      </c>
      <c r="B196" s="47" t="s">
        <v>475</v>
      </c>
    </row>
    <row r="197" spans="1:2" x14ac:dyDescent="0.3">
      <c r="A197" s="47" t="s">
        <v>476</v>
      </c>
      <c r="B197" s="47" t="s">
        <v>477</v>
      </c>
    </row>
    <row r="198" spans="1:2" x14ac:dyDescent="0.3">
      <c r="A198" s="47" t="s">
        <v>478</v>
      </c>
      <c r="B198" s="47" t="s">
        <v>479</v>
      </c>
    </row>
    <row r="199" spans="1:2" x14ac:dyDescent="0.3">
      <c r="A199" s="47" t="s">
        <v>480</v>
      </c>
      <c r="B199" s="47" t="s">
        <v>481</v>
      </c>
    </row>
    <row r="200" spans="1:2" x14ac:dyDescent="0.3">
      <c r="A200" s="47" t="s">
        <v>482</v>
      </c>
      <c r="B200" s="47" t="s">
        <v>483</v>
      </c>
    </row>
    <row r="201" spans="1:2" x14ac:dyDescent="0.3">
      <c r="A201" s="47" t="s">
        <v>484</v>
      </c>
      <c r="B201" s="47" t="s">
        <v>328</v>
      </c>
    </row>
    <row r="202" spans="1:2" x14ac:dyDescent="0.3">
      <c r="A202" s="47" t="s">
        <v>485</v>
      </c>
      <c r="B202" s="47" t="s">
        <v>326</v>
      </c>
    </row>
    <row r="203" spans="1:2" x14ac:dyDescent="0.3">
      <c r="A203" s="47" t="s">
        <v>486</v>
      </c>
      <c r="B203" s="47" t="s">
        <v>487</v>
      </c>
    </row>
    <row r="204" spans="1:2" x14ac:dyDescent="0.3">
      <c r="A204" s="47" t="s">
        <v>488</v>
      </c>
      <c r="B204" s="47" t="s">
        <v>489</v>
      </c>
    </row>
    <row r="205" spans="1:2" x14ac:dyDescent="0.3">
      <c r="A205" s="47" t="s">
        <v>490</v>
      </c>
      <c r="B205" s="47" t="s">
        <v>491</v>
      </c>
    </row>
    <row r="206" spans="1:2" x14ac:dyDescent="0.3">
      <c r="A206" s="47" t="s">
        <v>492</v>
      </c>
      <c r="B206" s="47" t="s">
        <v>493</v>
      </c>
    </row>
    <row r="207" spans="1:2" x14ac:dyDescent="0.3">
      <c r="A207" s="47" t="s">
        <v>494</v>
      </c>
      <c r="B207" s="47" t="s">
        <v>495</v>
      </c>
    </row>
    <row r="208" spans="1:2" x14ac:dyDescent="0.3">
      <c r="A208" s="47" t="s">
        <v>496</v>
      </c>
      <c r="B208" s="47" t="s">
        <v>497</v>
      </c>
    </row>
    <row r="209" spans="1:2" x14ac:dyDescent="0.3">
      <c r="A209" s="47" t="s">
        <v>498</v>
      </c>
      <c r="B209" s="47" t="s">
        <v>499</v>
      </c>
    </row>
    <row r="210" spans="1:2" x14ac:dyDescent="0.3">
      <c r="A210" s="47" t="s">
        <v>500</v>
      </c>
      <c r="B210" s="47" t="s">
        <v>501</v>
      </c>
    </row>
    <row r="211" spans="1:2" x14ac:dyDescent="0.3">
      <c r="A211" s="47" t="s">
        <v>502</v>
      </c>
      <c r="B211" s="47" t="s">
        <v>503</v>
      </c>
    </row>
    <row r="212" spans="1:2" x14ac:dyDescent="0.3">
      <c r="A212" s="47" t="s">
        <v>504</v>
      </c>
      <c r="B212" s="47" t="s">
        <v>505</v>
      </c>
    </row>
    <row r="213" spans="1:2" x14ac:dyDescent="0.3">
      <c r="A213" s="47" t="s">
        <v>506</v>
      </c>
      <c r="B213" s="47" t="s">
        <v>507</v>
      </c>
    </row>
    <row r="214" spans="1:2" x14ac:dyDescent="0.3">
      <c r="A214" s="47" t="s">
        <v>508</v>
      </c>
      <c r="B214" s="47" t="s">
        <v>509</v>
      </c>
    </row>
    <row r="215" spans="1:2" x14ac:dyDescent="0.3">
      <c r="A215" s="47" t="s">
        <v>510</v>
      </c>
      <c r="B215" s="47" t="s">
        <v>511</v>
      </c>
    </row>
    <row r="216" spans="1:2" x14ac:dyDescent="0.3">
      <c r="A216" s="47" t="s">
        <v>512</v>
      </c>
      <c r="B216" s="47" t="s">
        <v>513</v>
      </c>
    </row>
    <row r="217" spans="1:2" x14ac:dyDescent="0.3">
      <c r="A217" s="47" t="s">
        <v>514</v>
      </c>
      <c r="B217" s="47" t="s">
        <v>515</v>
      </c>
    </row>
    <row r="218" spans="1:2" x14ac:dyDescent="0.3">
      <c r="A218" s="47" t="s">
        <v>516</v>
      </c>
      <c r="B218" s="47" t="s">
        <v>517</v>
      </c>
    </row>
    <row r="219" spans="1:2" x14ac:dyDescent="0.3">
      <c r="A219" s="47" t="s">
        <v>518</v>
      </c>
      <c r="B219" s="47" t="s">
        <v>519</v>
      </c>
    </row>
    <row r="220" spans="1:2" x14ac:dyDescent="0.3">
      <c r="A220" s="47" t="s">
        <v>520</v>
      </c>
      <c r="B220" s="47" t="s">
        <v>521</v>
      </c>
    </row>
    <row r="221" spans="1:2" x14ac:dyDescent="0.3">
      <c r="A221" s="47" t="s">
        <v>522</v>
      </c>
      <c r="B221" s="47" t="s">
        <v>523</v>
      </c>
    </row>
    <row r="222" spans="1:2" x14ac:dyDescent="0.3">
      <c r="A222" s="47" t="s">
        <v>524</v>
      </c>
      <c r="B222" s="47" t="s">
        <v>525</v>
      </c>
    </row>
    <row r="223" spans="1:2" x14ac:dyDescent="0.3">
      <c r="A223" s="47" t="s">
        <v>526</v>
      </c>
      <c r="B223" s="47" t="s">
        <v>527</v>
      </c>
    </row>
    <row r="224" spans="1:2" x14ac:dyDescent="0.3">
      <c r="A224" s="47" t="s">
        <v>528</v>
      </c>
      <c r="B224" s="47" t="s">
        <v>529</v>
      </c>
    </row>
    <row r="225" spans="1:2" x14ac:dyDescent="0.3">
      <c r="A225" s="47" t="s">
        <v>530</v>
      </c>
      <c r="B225" s="47" t="s">
        <v>531</v>
      </c>
    </row>
    <row r="226" spans="1:2" x14ac:dyDescent="0.3">
      <c r="A226" s="47" t="s">
        <v>532</v>
      </c>
      <c r="B226" s="47" t="s">
        <v>531</v>
      </c>
    </row>
    <row r="227" spans="1:2" x14ac:dyDescent="0.3">
      <c r="A227" s="47" t="s">
        <v>533</v>
      </c>
      <c r="B227" s="47" t="s">
        <v>534</v>
      </c>
    </row>
    <row r="228" spans="1:2" x14ac:dyDescent="0.3">
      <c r="A228" s="47" t="s">
        <v>535</v>
      </c>
      <c r="B228" s="47" t="s">
        <v>536</v>
      </c>
    </row>
    <row r="229" spans="1:2" x14ac:dyDescent="0.3">
      <c r="A229" s="47" t="s">
        <v>537</v>
      </c>
      <c r="B229" s="47" t="s">
        <v>538</v>
      </c>
    </row>
    <row r="230" spans="1:2" x14ac:dyDescent="0.3">
      <c r="A230" s="47" t="s">
        <v>539</v>
      </c>
      <c r="B230" s="47" t="s">
        <v>540</v>
      </c>
    </row>
    <row r="231" spans="1:2" x14ac:dyDescent="0.3">
      <c r="A231" s="47" t="s">
        <v>541</v>
      </c>
      <c r="B231" s="47" t="s">
        <v>542</v>
      </c>
    </row>
    <row r="232" spans="1:2" x14ac:dyDescent="0.3">
      <c r="A232" s="47" t="s">
        <v>543</v>
      </c>
      <c r="B232" s="47" t="s">
        <v>544</v>
      </c>
    </row>
    <row r="233" spans="1:2" x14ac:dyDescent="0.3">
      <c r="A233" s="47" t="s">
        <v>545</v>
      </c>
      <c r="B233" s="47" t="s">
        <v>546</v>
      </c>
    </row>
    <row r="234" spans="1:2" x14ac:dyDescent="0.3">
      <c r="A234" s="47" t="s">
        <v>547</v>
      </c>
      <c r="B234" s="47" t="s">
        <v>548</v>
      </c>
    </row>
    <row r="235" spans="1:2" x14ac:dyDescent="0.3">
      <c r="A235" s="47" t="s">
        <v>549</v>
      </c>
      <c r="B235" s="47" t="s">
        <v>550</v>
      </c>
    </row>
    <row r="236" spans="1:2" x14ac:dyDescent="0.3">
      <c r="A236" s="47" t="s">
        <v>551</v>
      </c>
      <c r="B236" s="47" t="s">
        <v>552</v>
      </c>
    </row>
    <row r="237" spans="1:2" x14ac:dyDescent="0.3">
      <c r="A237" s="47" t="s">
        <v>553</v>
      </c>
      <c r="B237" s="47" t="s">
        <v>554</v>
      </c>
    </row>
    <row r="238" spans="1:2" x14ac:dyDescent="0.3">
      <c r="A238" s="47" t="s">
        <v>555</v>
      </c>
      <c r="B238" s="47" t="s">
        <v>556</v>
      </c>
    </row>
    <row r="239" spans="1:2" x14ac:dyDescent="0.3">
      <c r="A239" s="47" t="s">
        <v>557</v>
      </c>
      <c r="B239" s="47" t="s">
        <v>558</v>
      </c>
    </row>
    <row r="240" spans="1:2" x14ac:dyDescent="0.3">
      <c r="A240" s="47" t="s">
        <v>559</v>
      </c>
      <c r="B240" s="47" t="s">
        <v>560</v>
      </c>
    </row>
    <row r="241" spans="1:2" x14ac:dyDescent="0.3">
      <c r="A241" s="47" t="s">
        <v>561</v>
      </c>
      <c r="B241" s="47" t="s">
        <v>562</v>
      </c>
    </row>
    <row r="242" spans="1:2" x14ac:dyDescent="0.3">
      <c r="A242" s="47" t="s">
        <v>14</v>
      </c>
      <c r="B242" s="47" t="s">
        <v>563</v>
      </c>
    </row>
    <row r="243" spans="1:2" x14ac:dyDescent="0.3">
      <c r="A243" s="47" t="s">
        <v>564</v>
      </c>
      <c r="B243" s="47" t="s">
        <v>565</v>
      </c>
    </row>
    <row r="244" spans="1:2" x14ac:dyDescent="0.3">
      <c r="A244" s="47" t="s">
        <v>566</v>
      </c>
      <c r="B244" s="47" t="s">
        <v>567</v>
      </c>
    </row>
    <row r="245" spans="1:2" x14ac:dyDescent="0.3">
      <c r="A245" s="47" t="s">
        <v>568</v>
      </c>
      <c r="B245" s="47" t="s">
        <v>569</v>
      </c>
    </row>
    <row r="246" spans="1:2" x14ac:dyDescent="0.3">
      <c r="A246" s="47" t="s">
        <v>570</v>
      </c>
      <c r="B246" s="47" t="s">
        <v>571</v>
      </c>
    </row>
    <row r="247" spans="1:2" x14ac:dyDescent="0.3">
      <c r="A247" s="47" t="s">
        <v>572</v>
      </c>
      <c r="B247" s="47" t="s">
        <v>573</v>
      </c>
    </row>
    <row r="248" spans="1:2" x14ac:dyDescent="0.3">
      <c r="A248" s="47" t="s">
        <v>574</v>
      </c>
      <c r="B248" s="47" t="s">
        <v>575</v>
      </c>
    </row>
    <row r="249" spans="1:2" x14ac:dyDescent="0.3">
      <c r="A249" s="47" t="s">
        <v>576</v>
      </c>
      <c r="B249" s="47" t="s">
        <v>577</v>
      </c>
    </row>
    <row r="251" spans="1:2" x14ac:dyDescent="0.3">
      <c r="A251" s="47" t="s">
        <v>578</v>
      </c>
      <c r="B251" s="47" t="s">
        <v>579</v>
      </c>
    </row>
    <row r="252" spans="1:2" x14ac:dyDescent="0.3">
      <c r="A252" s="47" t="s">
        <v>580</v>
      </c>
      <c r="B252" s="47" t="s">
        <v>581</v>
      </c>
    </row>
    <row r="253" spans="1:2" x14ac:dyDescent="0.3">
      <c r="A253" s="47" t="s">
        <v>582</v>
      </c>
      <c r="B253" s="47" t="s">
        <v>583</v>
      </c>
    </row>
    <row r="254" spans="1:2" x14ac:dyDescent="0.3">
      <c r="A254" s="47" t="s">
        <v>584</v>
      </c>
      <c r="B254" s="47" t="s">
        <v>585</v>
      </c>
    </row>
    <row r="255" spans="1:2" x14ac:dyDescent="0.3">
      <c r="A255" s="47" t="s">
        <v>586</v>
      </c>
      <c r="B255" s="47" t="s">
        <v>587</v>
      </c>
    </row>
    <row r="256" spans="1:2" x14ac:dyDescent="0.3">
      <c r="A256" s="47" t="s">
        <v>588</v>
      </c>
      <c r="B256" s="47" t="s">
        <v>589</v>
      </c>
    </row>
    <row r="257" spans="1:2" x14ac:dyDescent="0.3">
      <c r="A257" s="47" t="s">
        <v>590</v>
      </c>
      <c r="B257" s="47" t="s">
        <v>591</v>
      </c>
    </row>
    <row r="258" spans="1:2" x14ac:dyDescent="0.3">
      <c r="A258" s="47" t="s">
        <v>592</v>
      </c>
      <c r="B258" s="47" t="s">
        <v>593</v>
      </c>
    </row>
    <row r="259" spans="1:2" x14ac:dyDescent="0.3">
      <c r="A259" s="47" t="s">
        <v>594</v>
      </c>
      <c r="B259" s="47" t="s">
        <v>595</v>
      </c>
    </row>
    <row r="260" spans="1:2" x14ac:dyDescent="0.3">
      <c r="A260" s="47" t="s">
        <v>596</v>
      </c>
      <c r="B260" s="47" t="s">
        <v>597</v>
      </c>
    </row>
    <row r="261" spans="1:2" x14ac:dyDescent="0.3">
      <c r="A261" s="47" t="s">
        <v>598</v>
      </c>
      <c r="B261" s="47" t="s">
        <v>599</v>
      </c>
    </row>
    <row r="262" spans="1:2" x14ac:dyDescent="0.3">
      <c r="A262" s="47" t="s">
        <v>600</v>
      </c>
      <c r="B262" s="47" t="s">
        <v>601</v>
      </c>
    </row>
    <row r="263" spans="1:2" x14ac:dyDescent="0.3">
      <c r="A263" s="47" t="s">
        <v>602</v>
      </c>
      <c r="B263" s="47" t="s">
        <v>603</v>
      </c>
    </row>
    <row r="264" spans="1:2" x14ac:dyDescent="0.3">
      <c r="A264" s="47" t="s">
        <v>604</v>
      </c>
      <c r="B264" s="47" t="s">
        <v>605</v>
      </c>
    </row>
    <row r="265" spans="1:2" x14ac:dyDescent="0.3">
      <c r="A265" s="47" t="s">
        <v>606</v>
      </c>
      <c r="B265" s="47" t="s">
        <v>607</v>
      </c>
    </row>
    <row r="266" spans="1:2" x14ac:dyDescent="0.3">
      <c r="A266" s="47" t="s">
        <v>608</v>
      </c>
      <c r="B266" s="47" t="s">
        <v>609</v>
      </c>
    </row>
    <row r="267" spans="1:2" x14ac:dyDescent="0.3">
      <c r="A267" s="47" t="s">
        <v>610</v>
      </c>
      <c r="B267" s="47" t="s">
        <v>611</v>
      </c>
    </row>
    <row r="268" spans="1:2" x14ac:dyDescent="0.3">
      <c r="A268" s="47" t="s">
        <v>612</v>
      </c>
      <c r="B268" s="47" t="s">
        <v>613</v>
      </c>
    </row>
    <row r="269" spans="1:2" x14ac:dyDescent="0.3">
      <c r="A269" s="47" t="s">
        <v>614</v>
      </c>
      <c r="B269" s="47" t="s">
        <v>615</v>
      </c>
    </row>
    <row r="270" spans="1:2" x14ac:dyDescent="0.3">
      <c r="A270" s="47" t="s">
        <v>616</v>
      </c>
      <c r="B270" s="47" t="s">
        <v>617</v>
      </c>
    </row>
    <row r="271" spans="1:2" x14ac:dyDescent="0.3">
      <c r="A271" s="47" t="s">
        <v>618</v>
      </c>
      <c r="B271" s="47" t="s">
        <v>619</v>
      </c>
    </row>
    <row r="272" spans="1:2" x14ac:dyDescent="0.3">
      <c r="A272" s="47" t="s">
        <v>620</v>
      </c>
      <c r="B272" s="47" t="s">
        <v>621</v>
      </c>
    </row>
    <row r="273" spans="1:2" x14ac:dyDescent="0.3">
      <c r="A273" s="47" t="s">
        <v>622</v>
      </c>
      <c r="B273" s="47" t="s">
        <v>623</v>
      </c>
    </row>
    <row r="274" spans="1:2" x14ac:dyDescent="0.3">
      <c r="A274" s="47" t="s">
        <v>624</v>
      </c>
      <c r="B274" s="47" t="s">
        <v>625</v>
      </c>
    </row>
    <row r="275" spans="1:2" x14ac:dyDescent="0.3">
      <c r="A275" s="47" t="s">
        <v>626</v>
      </c>
      <c r="B275" s="47" t="s">
        <v>627</v>
      </c>
    </row>
    <row r="276" spans="1:2" x14ac:dyDescent="0.3">
      <c r="A276" s="47" t="s">
        <v>628</v>
      </c>
      <c r="B276" s="47" t="s">
        <v>629</v>
      </c>
    </row>
    <row r="277" spans="1:2" x14ac:dyDescent="0.3">
      <c r="A277" s="47" t="s">
        <v>630</v>
      </c>
      <c r="B277" s="47" t="s">
        <v>631</v>
      </c>
    </row>
    <row r="278" spans="1:2" x14ac:dyDescent="0.3">
      <c r="A278" s="47" t="s">
        <v>632</v>
      </c>
      <c r="B278" s="47" t="s">
        <v>633</v>
      </c>
    </row>
    <row r="279" spans="1:2" x14ac:dyDescent="0.3">
      <c r="A279" s="47" t="s">
        <v>634</v>
      </c>
      <c r="B279" s="47" t="s">
        <v>635</v>
      </c>
    </row>
    <row r="280" spans="1:2" x14ac:dyDescent="0.3">
      <c r="A280" s="47" t="s">
        <v>636</v>
      </c>
      <c r="B280" s="47" t="s">
        <v>637</v>
      </c>
    </row>
    <row r="281" spans="1:2" x14ac:dyDescent="0.3">
      <c r="A281" s="47" t="s">
        <v>638</v>
      </c>
      <c r="B281" s="47" t="s">
        <v>639</v>
      </c>
    </row>
    <row r="282" spans="1:2" x14ac:dyDescent="0.3">
      <c r="A282" s="47" t="s">
        <v>640</v>
      </c>
      <c r="B282" s="47" t="s">
        <v>641</v>
      </c>
    </row>
    <row r="283" spans="1:2" x14ac:dyDescent="0.3">
      <c r="A283" s="47" t="s">
        <v>642</v>
      </c>
      <c r="B283" s="47" t="s">
        <v>643</v>
      </c>
    </row>
    <row r="284" spans="1:2" x14ac:dyDescent="0.3">
      <c r="A284" s="47" t="s">
        <v>644</v>
      </c>
      <c r="B284" s="47" t="s">
        <v>645</v>
      </c>
    </row>
    <row r="285" spans="1:2" x14ac:dyDescent="0.3">
      <c r="A285" s="47" t="s">
        <v>17</v>
      </c>
      <c r="B285" s="47" t="s">
        <v>646</v>
      </c>
    </row>
    <row r="286" spans="1:2" x14ac:dyDescent="0.3">
      <c r="A286" s="47" t="s">
        <v>647</v>
      </c>
      <c r="B286" s="47" t="s">
        <v>648</v>
      </c>
    </row>
    <row r="287" spans="1:2" x14ac:dyDescent="0.3">
      <c r="A287" s="47" t="s">
        <v>649</v>
      </c>
      <c r="B287" s="47" t="s">
        <v>650</v>
      </c>
    </row>
    <row r="288" spans="1:2" x14ac:dyDescent="0.3">
      <c r="A288" s="47" t="s">
        <v>651</v>
      </c>
      <c r="B288" s="47" t="s">
        <v>652</v>
      </c>
    </row>
    <row r="289" spans="1:2" x14ac:dyDescent="0.3">
      <c r="A289" s="47" t="s">
        <v>653</v>
      </c>
      <c r="B289" s="47" t="s">
        <v>654</v>
      </c>
    </row>
    <row r="290" spans="1:2" x14ac:dyDescent="0.3">
      <c r="A290" s="47" t="s">
        <v>655</v>
      </c>
      <c r="B290" s="47" t="s">
        <v>656</v>
      </c>
    </row>
    <row r="291" spans="1:2" x14ac:dyDescent="0.3">
      <c r="A291" s="47" t="s">
        <v>657</v>
      </c>
      <c r="B291" s="47" t="s">
        <v>658</v>
      </c>
    </row>
    <row r="292" spans="1:2" x14ac:dyDescent="0.3">
      <c r="A292" s="47" t="s">
        <v>659</v>
      </c>
      <c r="B292" s="47" t="s">
        <v>660</v>
      </c>
    </row>
    <row r="293" spans="1:2" x14ac:dyDescent="0.3">
      <c r="A293" s="47" t="s">
        <v>661</v>
      </c>
      <c r="B293" s="47" t="s">
        <v>662</v>
      </c>
    </row>
    <row r="294" spans="1:2" x14ac:dyDescent="0.3">
      <c r="A294" s="47" t="s">
        <v>663</v>
      </c>
      <c r="B294" s="47" t="s">
        <v>664</v>
      </c>
    </row>
    <row r="295" spans="1:2" x14ac:dyDescent="0.3">
      <c r="A295" s="47" t="s">
        <v>665</v>
      </c>
      <c r="B295" s="47" t="s">
        <v>666</v>
      </c>
    </row>
    <row r="296" spans="1:2" x14ac:dyDescent="0.3">
      <c r="A296" s="47" t="s">
        <v>667</v>
      </c>
      <c r="B296" s="47" t="s">
        <v>668</v>
      </c>
    </row>
    <row r="297" spans="1:2" x14ac:dyDescent="0.3">
      <c r="A297" s="47" t="s">
        <v>669</v>
      </c>
      <c r="B297" s="47" t="s">
        <v>670</v>
      </c>
    </row>
    <row r="298" spans="1:2" x14ac:dyDescent="0.3">
      <c r="A298" s="47" t="s">
        <v>671</v>
      </c>
      <c r="B298" s="47" t="s">
        <v>672</v>
      </c>
    </row>
    <row r="299" spans="1:2" x14ac:dyDescent="0.3">
      <c r="A299" s="47" t="s">
        <v>673</v>
      </c>
      <c r="B299" s="47" t="s">
        <v>674</v>
      </c>
    </row>
    <row r="300" spans="1:2" x14ac:dyDescent="0.3">
      <c r="A300" s="47" t="s">
        <v>675</v>
      </c>
      <c r="B300" s="47" t="s">
        <v>676</v>
      </c>
    </row>
    <row r="301" spans="1:2" x14ac:dyDescent="0.3">
      <c r="A301" s="47" t="s">
        <v>677</v>
      </c>
      <c r="B301" s="47" t="s">
        <v>678</v>
      </c>
    </row>
    <row r="302" spans="1:2" x14ac:dyDescent="0.3">
      <c r="A302" s="47" t="s">
        <v>679</v>
      </c>
      <c r="B302" s="47" t="s">
        <v>680</v>
      </c>
    </row>
    <row r="303" spans="1:2" x14ac:dyDescent="0.3">
      <c r="A303" s="47" t="s">
        <v>681</v>
      </c>
      <c r="B303" s="47" t="s">
        <v>682</v>
      </c>
    </row>
    <row r="304" spans="1:2" x14ac:dyDescent="0.3">
      <c r="A304" s="47" t="s">
        <v>683</v>
      </c>
      <c r="B304" s="47" t="s">
        <v>684</v>
      </c>
    </row>
    <row r="305" spans="1:2" x14ac:dyDescent="0.3">
      <c r="A305" s="47" t="s">
        <v>685</v>
      </c>
      <c r="B305" s="47" t="s">
        <v>686</v>
      </c>
    </row>
    <row r="306" spans="1:2" x14ac:dyDescent="0.3">
      <c r="A306" s="47" t="s">
        <v>687</v>
      </c>
      <c r="B306" s="47" t="s">
        <v>688</v>
      </c>
    </row>
    <row r="307" spans="1:2" x14ac:dyDescent="0.3">
      <c r="A307" s="47" t="s">
        <v>689</v>
      </c>
      <c r="B307" s="47" t="s">
        <v>690</v>
      </c>
    </row>
    <row r="308" spans="1:2" x14ac:dyDescent="0.3">
      <c r="A308" s="47" t="s">
        <v>691</v>
      </c>
      <c r="B308" s="47" t="s">
        <v>692</v>
      </c>
    </row>
    <row r="309" spans="1:2" x14ac:dyDescent="0.3">
      <c r="A309" s="47" t="s">
        <v>693</v>
      </c>
      <c r="B309" s="47" t="s">
        <v>694</v>
      </c>
    </row>
    <row r="310" spans="1:2" x14ac:dyDescent="0.3">
      <c r="A310" s="47" t="s">
        <v>695</v>
      </c>
      <c r="B310" s="47" t="s">
        <v>696</v>
      </c>
    </row>
    <row r="311" spans="1:2" x14ac:dyDescent="0.3">
      <c r="A311" s="47" t="s">
        <v>697</v>
      </c>
      <c r="B311" s="47" t="s">
        <v>698</v>
      </c>
    </row>
    <row r="312" spans="1:2" x14ac:dyDescent="0.3">
      <c r="A312" s="47" t="s">
        <v>699</v>
      </c>
      <c r="B312" s="47" t="s">
        <v>700</v>
      </c>
    </row>
    <row r="313" spans="1:2" x14ac:dyDescent="0.3">
      <c r="A313" s="47" t="s">
        <v>701</v>
      </c>
      <c r="B313" s="47" t="s">
        <v>702</v>
      </c>
    </row>
    <row r="314" spans="1:2" x14ac:dyDescent="0.3">
      <c r="A314" s="47" t="s">
        <v>703</v>
      </c>
      <c r="B314" s="47" t="s">
        <v>704</v>
      </c>
    </row>
    <row r="315" spans="1:2" x14ac:dyDescent="0.3">
      <c r="A315" s="47" t="s">
        <v>705</v>
      </c>
      <c r="B315" s="47" t="s">
        <v>706</v>
      </c>
    </row>
    <row r="316" spans="1:2" x14ac:dyDescent="0.3">
      <c r="A316" s="47" t="s">
        <v>707</v>
      </c>
      <c r="B316" s="47" t="s">
        <v>708</v>
      </c>
    </row>
    <row r="317" spans="1:2" x14ac:dyDescent="0.3">
      <c r="A317" s="47" t="s">
        <v>709</v>
      </c>
      <c r="B317" s="47" t="s">
        <v>710</v>
      </c>
    </row>
    <row r="318" spans="1:2" x14ac:dyDescent="0.3">
      <c r="A318" s="47" t="s">
        <v>711</v>
      </c>
      <c r="B318" s="47" t="s">
        <v>712</v>
      </c>
    </row>
    <row r="319" spans="1:2" x14ac:dyDescent="0.3">
      <c r="A319" s="47" t="s">
        <v>713</v>
      </c>
      <c r="B319" s="47" t="s">
        <v>714</v>
      </c>
    </row>
    <row r="320" spans="1:2" x14ac:dyDescent="0.3">
      <c r="A320" s="47" t="s">
        <v>715</v>
      </c>
      <c r="B320" s="47" t="s">
        <v>716</v>
      </c>
    </row>
    <row r="321" spans="1:2" x14ac:dyDescent="0.3">
      <c r="A321" s="47" t="s">
        <v>717</v>
      </c>
      <c r="B321" s="47" t="s">
        <v>718</v>
      </c>
    </row>
    <row r="322" spans="1:2" x14ac:dyDescent="0.3">
      <c r="A322" s="47" t="s">
        <v>64</v>
      </c>
      <c r="B322" s="47" t="s">
        <v>719</v>
      </c>
    </row>
    <row r="323" spans="1:2" x14ac:dyDescent="0.3">
      <c r="A323" s="47" t="s">
        <v>720</v>
      </c>
      <c r="B323" s="47" t="s">
        <v>721</v>
      </c>
    </row>
    <row r="324" spans="1:2" x14ac:dyDescent="0.3">
      <c r="A324" s="47" t="s">
        <v>722</v>
      </c>
      <c r="B324" s="47" t="s">
        <v>723</v>
      </c>
    </row>
    <row r="325" spans="1:2" x14ac:dyDescent="0.3">
      <c r="A325" s="47" t="s">
        <v>724</v>
      </c>
      <c r="B325" s="47" t="s">
        <v>725</v>
      </c>
    </row>
    <row r="326" spans="1:2" x14ac:dyDescent="0.3">
      <c r="A326" s="47" t="s">
        <v>726</v>
      </c>
      <c r="B326" s="47" t="s">
        <v>727</v>
      </c>
    </row>
    <row r="327" spans="1:2" x14ac:dyDescent="0.3">
      <c r="A327" s="47" t="s">
        <v>728</v>
      </c>
      <c r="B327" s="47" t="s">
        <v>729</v>
      </c>
    </row>
    <row r="328" spans="1:2" x14ac:dyDescent="0.3">
      <c r="A328" s="47" t="s">
        <v>730</v>
      </c>
      <c r="B328" s="47" t="s">
        <v>731</v>
      </c>
    </row>
    <row r="329" spans="1:2" x14ac:dyDescent="0.3">
      <c r="A329" s="47" t="s">
        <v>732</v>
      </c>
      <c r="B329" s="47" t="s">
        <v>733</v>
      </c>
    </row>
    <row r="330" spans="1:2" x14ac:dyDescent="0.3">
      <c r="A330" s="47" t="s">
        <v>734</v>
      </c>
      <c r="B330" s="47" t="s">
        <v>735</v>
      </c>
    </row>
    <row r="331" spans="1:2" x14ac:dyDescent="0.3">
      <c r="A331" s="47" t="s">
        <v>736</v>
      </c>
      <c r="B331" s="47" t="s">
        <v>737</v>
      </c>
    </row>
    <row r="332" spans="1:2" x14ac:dyDescent="0.3">
      <c r="A332" s="47" t="s">
        <v>738</v>
      </c>
      <c r="B332" s="47" t="s">
        <v>739</v>
      </c>
    </row>
    <row r="333" spans="1:2" x14ac:dyDescent="0.3">
      <c r="A333" s="47" t="s">
        <v>740</v>
      </c>
      <c r="B333" s="47" t="s">
        <v>741</v>
      </c>
    </row>
    <row r="334" spans="1:2" x14ac:dyDescent="0.3">
      <c r="A334" s="47" t="s">
        <v>742</v>
      </c>
      <c r="B334" s="47" t="s">
        <v>743</v>
      </c>
    </row>
    <row r="335" spans="1:2" x14ac:dyDescent="0.3">
      <c r="A335" s="47" t="s">
        <v>744</v>
      </c>
      <c r="B335" s="47" t="s">
        <v>745</v>
      </c>
    </row>
    <row r="336" spans="1:2" x14ac:dyDescent="0.3">
      <c r="A336" s="47" t="s">
        <v>746</v>
      </c>
      <c r="B336" s="47" t="s">
        <v>747</v>
      </c>
    </row>
    <row r="337" spans="1:2" x14ac:dyDescent="0.3">
      <c r="A337" s="47" t="s">
        <v>748</v>
      </c>
      <c r="B337" s="47" t="s">
        <v>749</v>
      </c>
    </row>
    <row r="338" spans="1:2" x14ac:dyDescent="0.3">
      <c r="A338" s="47" t="s">
        <v>750</v>
      </c>
      <c r="B338" s="47" t="s">
        <v>751</v>
      </c>
    </row>
    <row r="339" spans="1:2" x14ac:dyDescent="0.3">
      <c r="A339" s="47" t="s">
        <v>752</v>
      </c>
      <c r="B339" s="47" t="s">
        <v>753</v>
      </c>
    </row>
    <row r="340" spans="1:2" x14ac:dyDescent="0.3">
      <c r="A340" s="47" t="s">
        <v>754</v>
      </c>
      <c r="B340" s="47" t="s">
        <v>755</v>
      </c>
    </row>
    <row r="341" spans="1:2" x14ac:dyDescent="0.3">
      <c r="A341" s="47" t="s">
        <v>756</v>
      </c>
      <c r="B341" s="47" t="s">
        <v>757</v>
      </c>
    </row>
    <row r="342" spans="1:2" x14ac:dyDescent="0.3">
      <c r="A342" s="47" t="s">
        <v>758</v>
      </c>
      <c r="B342" s="47" t="s">
        <v>759</v>
      </c>
    </row>
    <row r="343" spans="1:2" x14ac:dyDescent="0.3">
      <c r="A343" s="47" t="s">
        <v>760</v>
      </c>
      <c r="B343" s="47" t="s">
        <v>761</v>
      </c>
    </row>
    <row r="344" spans="1:2" x14ac:dyDescent="0.3">
      <c r="A344" s="47" t="s">
        <v>92</v>
      </c>
      <c r="B344" s="47" t="s">
        <v>762</v>
      </c>
    </row>
    <row r="345" spans="1:2" x14ac:dyDescent="0.3">
      <c r="A345" s="47" t="s">
        <v>763</v>
      </c>
      <c r="B345" s="47" t="s">
        <v>764</v>
      </c>
    </row>
    <row r="346" spans="1:2" x14ac:dyDescent="0.3">
      <c r="A346" s="47" t="s">
        <v>765</v>
      </c>
      <c r="B346" s="47" t="s">
        <v>766</v>
      </c>
    </row>
    <row r="347" spans="1:2" x14ac:dyDescent="0.3">
      <c r="A347" s="47" t="s">
        <v>99</v>
      </c>
      <c r="B347" s="47" t="s">
        <v>767</v>
      </c>
    </row>
    <row r="348" spans="1:2" x14ac:dyDescent="0.3">
      <c r="A348" s="47" t="s">
        <v>36</v>
      </c>
      <c r="B348" s="47" t="s">
        <v>768</v>
      </c>
    </row>
    <row r="349" spans="1:2" x14ac:dyDescent="0.3">
      <c r="A349" s="47" t="s">
        <v>769</v>
      </c>
      <c r="B349" s="47" t="s">
        <v>770</v>
      </c>
    </row>
    <row r="350" spans="1:2" x14ac:dyDescent="0.3">
      <c r="A350" s="47" t="s">
        <v>771</v>
      </c>
      <c r="B350" s="47" t="s">
        <v>772</v>
      </c>
    </row>
    <row r="351" spans="1:2" x14ac:dyDescent="0.3">
      <c r="A351" s="47" t="s">
        <v>773</v>
      </c>
      <c r="B351" s="47" t="s">
        <v>774</v>
      </c>
    </row>
    <row r="352" spans="1:2" x14ac:dyDescent="0.3">
      <c r="A352" s="47" t="s">
        <v>775</v>
      </c>
      <c r="B352" s="47" t="s">
        <v>776</v>
      </c>
    </row>
    <row r="353" spans="1:2" x14ac:dyDescent="0.3">
      <c r="A353" s="47" t="s">
        <v>78</v>
      </c>
      <c r="B353" s="47" t="s">
        <v>777</v>
      </c>
    </row>
    <row r="354" spans="1:2" x14ac:dyDescent="0.3">
      <c r="A354" s="47" t="s">
        <v>778</v>
      </c>
      <c r="B354" s="47" t="s">
        <v>779</v>
      </c>
    </row>
    <row r="355" spans="1:2" x14ac:dyDescent="0.3">
      <c r="A355" s="47" t="s">
        <v>780</v>
      </c>
      <c r="B355" s="47" t="s">
        <v>781</v>
      </c>
    </row>
    <row r="356" spans="1:2" x14ac:dyDescent="0.3">
      <c r="A356" s="47" t="s">
        <v>782</v>
      </c>
      <c r="B356" s="47" t="s">
        <v>783</v>
      </c>
    </row>
    <row r="357" spans="1:2" x14ac:dyDescent="0.3">
      <c r="A357" s="47" t="s">
        <v>784</v>
      </c>
      <c r="B357" s="47" t="s">
        <v>785</v>
      </c>
    </row>
    <row r="358" spans="1:2" x14ac:dyDescent="0.3">
      <c r="A358" s="47" t="s">
        <v>786</v>
      </c>
      <c r="B358" s="47" t="s">
        <v>787</v>
      </c>
    </row>
    <row r="359" spans="1:2" x14ac:dyDescent="0.3">
      <c r="A359" s="47" t="s">
        <v>788</v>
      </c>
      <c r="B359" s="47" t="s">
        <v>789</v>
      </c>
    </row>
    <row r="360" spans="1:2" x14ac:dyDescent="0.3">
      <c r="A360" s="47" t="s">
        <v>790</v>
      </c>
      <c r="B360" s="47" t="s">
        <v>791</v>
      </c>
    </row>
    <row r="361" spans="1:2" x14ac:dyDescent="0.3">
      <c r="A361" s="47" t="s">
        <v>792</v>
      </c>
      <c r="B361" s="47" t="s">
        <v>793</v>
      </c>
    </row>
    <row r="362" spans="1:2" x14ac:dyDescent="0.3">
      <c r="A362" s="47" t="s">
        <v>794</v>
      </c>
      <c r="B362" s="47" t="s">
        <v>795</v>
      </c>
    </row>
    <row r="363" spans="1:2" x14ac:dyDescent="0.3">
      <c r="A363" s="47" t="s">
        <v>796</v>
      </c>
      <c r="B363" s="47" t="s">
        <v>797</v>
      </c>
    </row>
    <row r="364" spans="1:2" x14ac:dyDescent="0.3">
      <c r="A364" s="47" t="s">
        <v>798</v>
      </c>
      <c r="B364" s="47" t="s">
        <v>799</v>
      </c>
    </row>
    <row r="365" spans="1:2" x14ac:dyDescent="0.3">
      <c r="A365" s="47" t="s">
        <v>800</v>
      </c>
      <c r="B365" s="47" t="s">
        <v>801</v>
      </c>
    </row>
    <row r="366" spans="1:2" x14ac:dyDescent="0.3">
      <c r="A366" s="47" t="s">
        <v>802</v>
      </c>
      <c r="B366" s="47" t="s">
        <v>803</v>
      </c>
    </row>
    <row r="367" spans="1:2" x14ac:dyDescent="0.3">
      <c r="A367" s="47" t="s">
        <v>804</v>
      </c>
      <c r="B367" s="47" t="s">
        <v>805</v>
      </c>
    </row>
    <row r="368" spans="1:2" x14ac:dyDescent="0.3">
      <c r="A368" s="47" t="s">
        <v>806</v>
      </c>
      <c r="B368" s="47" t="s">
        <v>807</v>
      </c>
    </row>
    <row r="369" spans="1:2" x14ac:dyDescent="0.3">
      <c r="A369" s="47" t="s">
        <v>808</v>
      </c>
      <c r="B369" s="47" t="s">
        <v>809</v>
      </c>
    </row>
    <row r="370" spans="1:2" x14ac:dyDescent="0.3">
      <c r="A370" s="47" t="s">
        <v>810</v>
      </c>
      <c r="B370" s="47" t="s">
        <v>811</v>
      </c>
    </row>
    <row r="371" spans="1:2" x14ac:dyDescent="0.3">
      <c r="A371" s="47" t="s">
        <v>812</v>
      </c>
      <c r="B371" s="47" t="s">
        <v>813</v>
      </c>
    </row>
    <row r="372" spans="1:2" x14ac:dyDescent="0.3">
      <c r="A372" s="47" t="s">
        <v>814</v>
      </c>
      <c r="B372" s="47" t="s">
        <v>815</v>
      </c>
    </row>
    <row r="373" spans="1:2" x14ac:dyDescent="0.3">
      <c r="A373" s="47" t="s">
        <v>816</v>
      </c>
      <c r="B373" s="47" t="s">
        <v>817</v>
      </c>
    </row>
    <row r="374" spans="1:2" x14ac:dyDescent="0.3">
      <c r="A374" s="47" t="s">
        <v>818</v>
      </c>
      <c r="B374" s="47" t="s">
        <v>819</v>
      </c>
    </row>
    <row r="375" spans="1:2" x14ac:dyDescent="0.3">
      <c r="A375" s="47" t="s">
        <v>820</v>
      </c>
      <c r="B375" s="47" t="s">
        <v>821</v>
      </c>
    </row>
    <row r="376" spans="1:2" x14ac:dyDescent="0.3">
      <c r="A376" s="47" t="s">
        <v>822</v>
      </c>
      <c r="B376" s="47" t="s">
        <v>823</v>
      </c>
    </row>
    <row r="377" spans="1:2" x14ac:dyDescent="0.3">
      <c r="A377" s="47" t="s">
        <v>824</v>
      </c>
      <c r="B377" s="47" t="s">
        <v>825</v>
      </c>
    </row>
    <row r="378" spans="1:2" x14ac:dyDescent="0.3">
      <c r="A378" s="47" t="s">
        <v>826</v>
      </c>
      <c r="B378" s="47" t="s">
        <v>827</v>
      </c>
    </row>
    <row r="379" spans="1:2" x14ac:dyDescent="0.3">
      <c r="A379" s="47" t="s">
        <v>828</v>
      </c>
      <c r="B379" s="47" t="s">
        <v>829</v>
      </c>
    </row>
    <row r="380" spans="1:2" x14ac:dyDescent="0.3">
      <c r="A380" s="47" t="s">
        <v>830</v>
      </c>
      <c r="B380" s="47" t="s">
        <v>831</v>
      </c>
    </row>
    <row r="381" spans="1:2" x14ac:dyDescent="0.3">
      <c r="A381" s="47" t="s">
        <v>832</v>
      </c>
      <c r="B381" s="47" t="s">
        <v>833</v>
      </c>
    </row>
    <row r="382" spans="1:2" x14ac:dyDescent="0.3">
      <c r="A382" s="47" t="s">
        <v>834</v>
      </c>
      <c r="B382" s="47" t="s">
        <v>835</v>
      </c>
    </row>
    <row r="383" spans="1:2" x14ac:dyDescent="0.3">
      <c r="A383" s="47" t="s">
        <v>836</v>
      </c>
      <c r="B383" s="47" t="s">
        <v>837</v>
      </c>
    </row>
    <row r="384" spans="1:2" x14ac:dyDescent="0.3">
      <c r="A384" s="47" t="s">
        <v>838</v>
      </c>
      <c r="B384" s="47" t="s">
        <v>839</v>
      </c>
    </row>
    <row r="385" spans="1:2" x14ac:dyDescent="0.3">
      <c r="A385" s="47" t="s">
        <v>840</v>
      </c>
      <c r="B385" s="47" t="s">
        <v>841</v>
      </c>
    </row>
    <row r="386" spans="1:2" x14ac:dyDescent="0.3">
      <c r="A386" s="47" t="s">
        <v>842</v>
      </c>
      <c r="B386" s="47" t="s">
        <v>843</v>
      </c>
    </row>
    <row r="387" spans="1:2" x14ac:dyDescent="0.3">
      <c r="A387" s="47" t="s">
        <v>844</v>
      </c>
      <c r="B387" s="47" t="s">
        <v>845</v>
      </c>
    </row>
    <row r="388" spans="1:2" x14ac:dyDescent="0.3">
      <c r="A388" s="47" t="s">
        <v>846</v>
      </c>
      <c r="B388" s="47" t="s">
        <v>847</v>
      </c>
    </row>
    <row r="389" spans="1:2" x14ac:dyDescent="0.3">
      <c r="A389" s="47" t="s">
        <v>848</v>
      </c>
      <c r="B389" s="47" t="s">
        <v>849</v>
      </c>
    </row>
    <row r="390" spans="1:2" x14ac:dyDescent="0.3">
      <c r="A390" s="47" t="s">
        <v>850</v>
      </c>
      <c r="B390" s="47" t="s">
        <v>851</v>
      </c>
    </row>
    <row r="391" spans="1:2" x14ac:dyDescent="0.3">
      <c r="A391" s="47" t="s">
        <v>852</v>
      </c>
      <c r="B391" s="47" t="s">
        <v>853</v>
      </c>
    </row>
    <row r="392" spans="1:2" x14ac:dyDescent="0.3">
      <c r="A392" s="47" t="s">
        <v>854</v>
      </c>
      <c r="B392" s="47" t="s">
        <v>855</v>
      </c>
    </row>
    <row r="393" spans="1:2" x14ac:dyDescent="0.3">
      <c r="A393" s="47" t="s">
        <v>856</v>
      </c>
      <c r="B393" s="47" t="s">
        <v>857</v>
      </c>
    </row>
    <row r="394" spans="1:2" x14ac:dyDescent="0.3">
      <c r="A394" s="47" t="s">
        <v>858</v>
      </c>
      <c r="B394" s="47" t="s">
        <v>859</v>
      </c>
    </row>
    <row r="395" spans="1:2" x14ac:dyDescent="0.3">
      <c r="A395" s="47" t="s">
        <v>860</v>
      </c>
      <c r="B395" s="47" t="s">
        <v>861</v>
      </c>
    </row>
    <row r="396" spans="1:2" x14ac:dyDescent="0.3">
      <c r="A396" s="47" t="s">
        <v>862</v>
      </c>
      <c r="B396" s="47" t="s">
        <v>863</v>
      </c>
    </row>
    <row r="397" spans="1:2" x14ac:dyDescent="0.3">
      <c r="A397" s="47" t="s">
        <v>864</v>
      </c>
      <c r="B397" s="47" t="s">
        <v>865</v>
      </c>
    </row>
    <row r="398" spans="1:2" x14ac:dyDescent="0.3">
      <c r="A398" s="47" t="s">
        <v>866</v>
      </c>
      <c r="B398" s="47" t="s">
        <v>867</v>
      </c>
    </row>
    <row r="399" spans="1:2" x14ac:dyDescent="0.3">
      <c r="A399" s="47" t="s">
        <v>868</v>
      </c>
      <c r="B399" s="47" t="s">
        <v>869</v>
      </c>
    </row>
    <row r="400" spans="1:2" x14ac:dyDescent="0.3">
      <c r="A400" s="47" t="s">
        <v>870</v>
      </c>
      <c r="B400" s="47" t="s">
        <v>871</v>
      </c>
    </row>
    <row r="401" spans="1:2" x14ac:dyDescent="0.3">
      <c r="A401" s="47" t="s">
        <v>872</v>
      </c>
      <c r="B401" s="47" t="s">
        <v>873</v>
      </c>
    </row>
    <row r="402" spans="1:2" x14ac:dyDescent="0.3">
      <c r="A402" s="47" t="s">
        <v>874</v>
      </c>
      <c r="B402" s="47" t="s">
        <v>875</v>
      </c>
    </row>
    <row r="403" spans="1:2" x14ac:dyDescent="0.3">
      <c r="A403" s="47" t="s">
        <v>876</v>
      </c>
      <c r="B403" s="47" t="s">
        <v>877</v>
      </c>
    </row>
    <row r="404" spans="1:2" x14ac:dyDescent="0.3">
      <c r="A404" s="47" t="s">
        <v>878</v>
      </c>
      <c r="B404" s="47" t="s">
        <v>879</v>
      </c>
    </row>
    <row r="405" spans="1:2" x14ac:dyDescent="0.3">
      <c r="A405" s="47" t="s">
        <v>880</v>
      </c>
      <c r="B405" s="47" t="s">
        <v>881</v>
      </c>
    </row>
    <row r="406" spans="1:2" x14ac:dyDescent="0.3">
      <c r="A406" s="47" t="s">
        <v>882</v>
      </c>
      <c r="B406" s="47" t="s">
        <v>883</v>
      </c>
    </row>
    <row r="407" spans="1:2" x14ac:dyDescent="0.3">
      <c r="A407" s="47" t="s">
        <v>884</v>
      </c>
      <c r="B407" s="47" t="s">
        <v>885</v>
      </c>
    </row>
    <row r="408" spans="1:2" x14ac:dyDescent="0.3">
      <c r="A408" s="47" t="s">
        <v>886</v>
      </c>
      <c r="B408" s="47" t="s">
        <v>887</v>
      </c>
    </row>
    <row r="409" spans="1:2" x14ac:dyDescent="0.3">
      <c r="A409" s="47" t="s">
        <v>888</v>
      </c>
      <c r="B409" s="47" t="s">
        <v>889</v>
      </c>
    </row>
    <row r="410" spans="1:2" x14ac:dyDescent="0.3">
      <c r="A410" s="47" t="s">
        <v>66</v>
      </c>
      <c r="B410" s="47" t="s">
        <v>890</v>
      </c>
    </row>
    <row r="411" spans="1:2" x14ac:dyDescent="0.3">
      <c r="A411" s="47" t="s">
        <v>891</v>
      </c>
      <c r="B411" s="47" t="s">
        <v>892</v>
      </c>
    </row>
    <row r="412" spans="1:2" x14ac:dyDescent="0.3">
      <c r="A412" s="47" t="s">
        <v>893</v>
      </c>
      <c r="B412" s="47" t="s">
        <v>894</v>
      </c>
    </row>
    <row r="413" spans="1:2" x14ac:dyDescent="0.3">
      <c r="A413" s="47" t="s">
        <v>895</v>
      </c>
      <c r="B413" s="47" t="s">
        <v>896</v>
      </c>
    </row>
    <row r="414" spans="1:2" x14ac:dyDescent="0.3">
      <c r="A414" s="47" t="s">
        <v>897</v>
      </c>
      <c r="B414" s="47" t="s">
        <v>898</v>
      </c>
    </row>
    <row r="415" spans="1:2" x14ac:dyDescent="0.3">
      <c r="A415" s="47" t="s">
        <v>899</v>
      </c>
      <c r="B415" s="47" t="s">
        <v>900</v>
      </c>
    </row>
    <row r="416" spans="1:2" x14ac:dyDescent="0.3">
      <c r="A416" s="47" t="s">
        <v>901</v>
      </c>
      <c r="B416" s="47" t="s">
        <v>902</v>
      </c>
    </row>
    <row r="417" spans="1:2" x14ac:dyDescent="0.3">
      <c r="A417" s="47" t="s">
        <v>903</v>
      </c>
      <c r="B417" s="47" t="s">
        <v>904</v>
      </c>
    </row>
    <row r="418" spans="1:2" x14ac:dyDescent="0.3">
      <c r="A418" s="47" t="s">
        <v>905</v>
      </c>
      <c r="B418" s="47" t="s">
        <v>906</v>
      </c>
    </row>
    <row r="419" spans="1:2" x14ac:dyDescent="0.3">
      <c r="A419" s="47" t="s">
        <v>907</v>
      </c>
      <c r="B419" s="47" t="s">
        <v>908</v>
      </c>
    </row>
    <row r="420" spans="1:2" x14ac:dyDescent="0.3">
      <c r="A420" s="47" t="s">
        <v>909</v>
      </c>
      <c r="B420" s="47" t="s">
        <v>910</v>
      </c>
    </row>
    <row r="421" spans="1:2" x14ac:dyDescent="0.3">
      <c r="A421" s="47" t="s">
        <v>911</v>
      </c>
      <c r="B421" s="47" t="s">
        <v>912</v>
      </c>
    </row>
    <row r="422" spans="1:2" x14ac:dyDescent="0.3">
      <c r="A422" s="47" t="s">
        <v>913</v>
      </c>
      <c r="B422" s="47" t="s">
        <v>914</v>
      </c>
    </row>
    <row r="423" spans="1:2" x14ac:dyDescent="0.3">
      <c r="A423" s="47" t="s">
        <v>915</v>
      </c>
      <c r="B423" s="47" t="s">
        <v>916</v>
      </c>
    </row>
    <row r="424" spans="1:2" x14ac:dyDescent="0.3">
      <c r="A424" s="47" t="s">
        <v>917</v>
      </c>
      <c r="B424" s="47" t="s">
        <v>918</v>
      </c>
    </row>
    <row r="425" spans="1:2" x14ac:dyDescent="0.3">
      <c r="A425" s="47" t="s">
        <v>919</v>
      </c>
      <c r="B425" s="47" t="s">
        <v>920</v>
      </c>
    </row>
    <row r="426" spans="1:2" x14ac:dyDescent="0.3">
      <c r="A426" s="47" t="s">
        <v>921</v>
      </c>
      <c r="B426" s="47" t="s">
        <v>922</v>
      </c>
    </row>
    <row r="427" spans="1:2" x14ac:dyDescent="0.3">
      <c r="A427" s="47" t="s">
        <v>923</v>
      </c>
      <c r="B427" s="47" t="s">
        <v>924</v>
      </c>
    </row>
    <row r="428" spans="1:2" x14ac:dyDescent="0.3">
      <c r="A428" s="47" t="s">
        <v>925</v>
      </c>
      <c r="B428" s="47" t="s">
        <v>926</v>
      </c>
    </row>
    <row r="429" spans="1:2" x14ac:dyDescent="0.3">
      <c r="A429" s="47" t="s">
        <v>927</v>
      </c>
      <c r="B429" s="47" t="s">
        <v>928</v>
      </c>
    </row>
    <row r="430" spans="1:2" x14ac:dyDescent="0.3">
      <c r="A430" s="47" t="s">
        <v>929</v>
      </c>
      <c r="B430" s="47" t="s">
        <v>930</v>
      </c>
    </row>
    <row r="431" spans="1:2" x14ac:dyDescent="0.3">
      <c r="A431" s="47" t="s">
        <v>931</v>
      </c>
      <c r="B431" s="47" t="s">
        <v>932</v>
      </c>
    </row>
    <row r="432" spans="1:2" x14ac:dyDescent="0.3">
      <c r="A432" s="47" t="s">
        <v>933</v>
      </c>
      <c r="B432" s="47" t="s">
        <v>934</v>
      </c>
    </row>
    <row r="433" spans="1:2" x14ac:dyDescent="0.3">
      <c r="A433" s="47" t="s">
        <v>935</v>
      </c>
      <c r="B433" s="47" t="s">
        <v>936</v>
      </c>
    </row>
    <row r="434" spans="1:2" x14ac:dyDescent="0.3">
      <c r="A434" s="47" t="s">
        <v>937</v>
      </c>
      <c r="B434" s="47" t="s">
        <v>938</v>
      </c>
    </row>
    <row r="435" spans="1:2" x14ac:dyDescent="0.3">
      <c r="A435" s="47" t="s">
        <v>939</v>
      </c>
      <c r="B435" s="47" t="s">
        <v>940</v>
      </c>
    </row>
    <row r="436" spans="1:2" x14ac:dyDescent="0.3">
      <c r="A436" s="47" t="s">
        <v>941</v>
      </c>
      <c r="B436" s="47" t="s">
        <v>942</v>
      </c>
    </row>
    <row r="437" spans="1:2" x14ac:dyDescent="0.3">
      <c r="A437" s="47" t="s">
        <v>943</v>
      </c>
      <c r="B437" s="47" t="s">
        <v>944</v>
      </c>
    </row>
    <row r="438" spans="1:2" x14ac:dyDescent="0.3">
      <c r="A438" s="47" t="s">
        <v>945</v>
      </c>
      <c r="B438" s="47" t="s">
        <v>946</v>
      </c>
    </row>
    <row r="439" spans="1:2" x14ac:dyDescent="0.3">
      <c r="A439" s="47" t="s">
        <v>947</v>
      </c>
      <c r="B439" s="47" t="s">
        <v>948</v>
      </c>
    </row>
    <row r="440" spans="1:2" x14ac:dyDescent="0.3">
      <c r="A440" s="47" t="s">
        <v>949</v>
      </c>
      <c r="B440" s="47" t="s">
        <v>950</v>
      </c>
    </row>
    <row r="441" spans="1:2" x14ac:dyDescent="0.3">
      <c r="A441" s="47" t="s">
        <v>951</v>
      </c>
      <c r="B441" s="47" t="s">
        <v>952</v>
      </c>
    </row>
    <row r="442" spans="1:2" x14ac:dyDescent="0.3">
      <c r="A442" s="47" t="s">
        <v>953</v>
      </c>
      <c r="B442" s="47" t="s">
        <v>954</v>
      </c>
    </row>
    <row r="443" spans="1:2" x14ac:dyDescent="0.3">
      <c r="A443" s="47" t="s">
        <v>955</v>
      </c>
      <c r="B443" s="47" t="s">
        <v>956</v>
      </c>
    </row>
    <row r="444" spans="1:2" x14ac:dyDescent="0.3">
      <c r="A444" s="47" t="s">
        <v>957</v>
      </c>
      <c r="B444" s="47" t="s">
        <v>958</v>
      </c>
    </row>
    <row r="445" spans="1:2" x14ac:dyDescent="0.3">
      <c r="A445" s="47" t="s">
        <v>959</v>
      </c>
      <c r="B445" s="47" t="s">
        <v>960</v>
      </c>
    </row>
    <row r="446" spans="1:2" x14ac:dyDescent="0.3">
      <c r="A446" s="47" t="s">
        <v>961</v>
      </c>
      <c r="B446" s="47" t="s">
        <v>962</v>
      </c>
    </row>
    <row r="447" spans="1:2" x14ac:dyDescent="0.3">
      <c r="A447" s="47" t="s">
        <v>963</v>
      </c>
      <c r="B447" s="47" t="s">
        <v>964</v>
      </c>
    </row>
    <row r="448" spans="1:2" x14ac:dyDescent="0.3">
      <c r="A448" s="47" t="s">
        <v>965</v>
      </c>
      <c r="B448" s="47" t="s">
        <v>966</v>
      </c>
    </row>
    <row r="449" spans="1:2" x14ac:dyDescent="0.3">
      <c r="A449" s="47" t="s">
        <v>967</v>
      </c>
      <c r="B449" s="47" t="s">
        <v>968</v>
      </c>
    </row>
    <row r="450" spans="1:2" x14ac:dyDescent="0.3">
      <c r="A450" s="47" t="s">
        <v>969</v>
      </c>
      <c r="B450" s="47" t="s">
        <v>970</v>
      </c>
    </row>
    <row r="451" spans="1:2" x14ac:dyDescent="0.3">
      <c r="A451" s="47" t="s">
        <v>971</v>
      </c>
      <c r="B451" s="47" t="s">
        <v>972</v>
      </c>
    </row>
    <row r="452" spans="1:2" x14ac:dyDescent="0.3">
      <c r="A452" s="47" t="s">
        <v>973</v>
      </c>
      <c r="B452" s="47" t="s">
        <v>974</v>
      </c>
    </row>
    <row r="453" spans="1:2" x14ac:dyDescent="0.3">
      <c r="A453" s="47" t="s">
        <v>975</v>
      </c>
      <c r="B453" s="47" t="s">
        <v>976</v>
      </c>
    </row>
    <row r="454" spans="1:2" x14ac:dyDescent="0.3">
      <c r="A454" s="47" t="s">
        <v>977</v>
      </c>
      <c r="B454" s="47" t="s">
        <v>978</v>
      </c>
    </row>
    <row r="455" spans="1:2" x14ac:dyDescent="0.3">
      <c r="A455" s="47" t="s">
        <v>979</v>
      </c>
      <c r="B455" s="47" t="s">
        <v>980</v>
      </c>
    </row>
    <row r="456" spans="1:2" x14ac:dyDescent="0.3">
      <c r="A456" s="47" t="s">
        <v>981</v>
      </c>
      <c r="B456" s="47" t="s">
        <v>982</v>
      </c>
    </row>
    <row r="457" spans="1:2" x14ac:dyDescent="0.3">
      <c r="A457" s="47" t="s">
        <v>983</v>
      </c>
      <c r="B457" s="47" t="s">
        <v>984</v>
      </c>
    </row>
    <row r="458" spans="1:2" x14ac:dyDescent="0.3">
      <c r="A458" s="47" t="s">
        <v>985</v>
      </c>
      <c r="B458" s="47" t="s">
        <v>986</v>
      </c>
    </row>
    <row r="459" spans="1:2" x14ac:dyDescent="0.3">
      <c r="A459" s="47" t="s">
        <v>987</v>
      </c>
      <c r="B459" s="47" t="s">
        <v>988</v>
      </c>
    </row>
    <row r="460" spans="1:2" x14ac:dyDescent="0.3">
      <c r="A460" s="47" t="s">
        <v>989</v>
      </c>
      <c r="B460" s="47" t="s">
        <v>990</v>
      </c>
    </row>
    <row r="461" spans="1:2" x14ac:dyDescent="0.3">
      <c r="A461" s="47" t="s">
        <v>991</v>
      </c>
      <c r="B461" s="47" t="s">
        <v>992</v>
      </c>
    </row>
    <row r="462" spans="1:2" x14ac:dyDescent="0.3">
      <c r="A462" s="47" t="s">
        <v>993</v>
      </c>
      <c r="B462" s="47" t="s">
        <v>994</v>
      </c>
    </row>
    <row r="463" spans="1:2" x14ac:dyDescent="0.3">
      <c r="A463" s="47" t="s">
        <v>995</v>
      </c>
      <c r="B463" s="47" t="s">
        <v>996</v>
      </c>
    </row>
    <row r="464" spans="1:2" x14ac:dyDescent="0.3">
      <c r="A464" s="47" t="s">
        <v>997</v>
      </c>
      <c r="B464" s="47" t="s">
        <v>998</v>
      </c>
    </row>
    <row r="465" spans="1:2" x14ac:dyDescent="0.3">
      <c r="A465" s="47" t="s">
        <v>999</v>
      </c>
      <c r="B465" s="47" t="s">
        <v>1000</v>
      </c>
    </row>
    <row r="466" spans="1:2" x14ac:dyDescent="0.3">
      <c r="A466" s="47" t="s">
        <v>1001</v>
      </c>
      <c r="B466" s="47" t="s">
        <v>1002</v>
      </c>
    </row>
    <row r="467" spans="1:2" x14ac:dyDescent="0.3">
      <c r="A467" s="47" t="s">
        <v>1003</v>
      </c>
      <c r="B467" s="47" t="s">
        <v>1004</v>
      </c>
    </row>
    <row r="468" spans="1:2" x14ac:dyDescent="0.3">
      <c r="A468" s="47" t="s">
        <v>1005</v>
      </c>
      <c r="B468" s="47" t="s">
        <v>1006</v>
      </c>
    </row>
    <row r="469" spans="1:2" x14ac:dyDescent="0.3">
      <c r="A469" s="47" t="s">
        <v>1007</v>
      </c>
      <c r="B469" s="47" t="s">
        <v>1008</v>
      </c>
    </row>
    <row r="470" spans="1:2" x14ac:dyDescent="0.3">
      <c r="A470" s="47" t="s">
        <v>1009</v>
      </c>
      <c r="B470" s="47" t="s">
        <v>1010</v>
      </c>
    </row>
    <row r="471" spans="1:2" x14ac:dyDescent="0.3">
      <c r="A471" s="47" t="s">
        <v>1011</v>
      </c>
      <c r="B471" s="47" t="s">
        <v>1012</v>
      </c>
    </row>
    <row r="472" spans="1:2" x14ac:dyDescent="0.3">
      <c r="A472" s="47" t="s">
        <v>1013</v>
      </c>
      <c r="B472" s="47" t="s">
        <v>1014</v>
      </c>
    </row>
    <row r="473" spans="1:2" x14ac:dyDescent="0.3">
      <c r="A473" s="47" t="s">
        <v>1015</v>
      </c>
      <c r="B473" s="47" t="s">
        <v>1016</v>
      </c>
    </row>
    <row r="474" spans="1:2" x14ac:dyDescent="0.3">
      <c r="A474" s="47" t="s">
        <v>1017</v>
      </c>
      <c r="B474" s="47" t="s">
        <v>1018</v>
      </c>
    </row>
    <row r="475" spans="1:2" x14ac:dyDescent="0.3">
      <c r="A475" s="47" t="s">
        <v>1019</v>
      </c>
      <c r="B475" s="47" t="s">
        <v>1020</v>
      </c>
    </row>
    <row r="476" spans="1:2" x14ac:dyDescent="0.3">
      <c r="A476" s="47" t="s">
        <v>1021</v>
      </c>
      <c r="B476" s="47" t="s">
        <v>1022</v>
      </c>
    </row>
    <row r="477" spans="1:2" x14ac:dyDescent="0.3">
      <c r="A477" s="47" t="s">
        <v>1023</v>
      </c>
      <c r="B477" s="47" t="s">
        <v>1024</v>
      </c>
    </row>
    <row r="478" spans="1:2" x14ac:dyDescent="0.3">
      <c r="A478" s="47" t="s">
        <v>1025</v>
      </c>
      <c r="B478" s="47" t="s">
        <v>1026</v>
      </c>
    </row>
    <row r="479" spans="1:2" x14ac:dyDescent="0.3">
      <c r="A479" s="47" t="s">
        <v>1027</v>
      </c>
      <c r="B479" s="47" t="s">
        <v>1028</v>
      </c>
    </row>
    <row r="480" spans="1:2" x14ac:dyDescent="0.3">
      <c r="A480" s="47" t="s">
        <v>1029</v>
      </c>
      <c r="B480" s="47" t="s">
        <v>1030</v>
      </c>
    </row>
    <row r="481" spans="1:2" x14ac:dyDescent="0.3">
      <c r="A481" s="47" t="s">
        <v>1031</v>
      </c>
      <c r="B481" s="47" t="s">
        <v>1032</v>
      </c>
    </row>
    <row r="482" spans="1:2" x14ac:dyDescent="0.3">
      <c r="A482" s="47" t="s">
        <v>1033</v>
      </c>
      <c r="B482" s="47" t="s">
        <v>1034</v>
      </c>
    </row>
    <row r="483" spans="1:2" x14ac:dyDescent="0.3">
      <c r="A483" s="47" t="s">
        <v>1035</v>
      </c>
      <c r="B483" s="47" t="s">
        <v>1036</v>
      </c>
    </row>
    <row r="484" spans="1:2" x14ac:dyDescent="0.3">
      <c r="A484" s="47" t="s">
        <v>1037</v>
      </c>
      <c r="B484" s="47" t="s">
        <v>1038</v>
      </c>
    </row>
    <row r="485" spans="1:2" x14ac:dyDescent="0.3">
      <c r="A485" s="47" t="s">
        <v>1039</v>
      </c>
      <c r="B485" s="47" t="s">
        <v>1040</v>
      </c>
    </row>
    <row r="486" spans="1:2" x14ac:dyDescent="0.3">
      <c r="A486" s="47" t="s">
        <v>1041</v>
      </c>
      <c r="B486" s="47" t="s">
        <v>1042</v>
      </c>
    </row>
    <row r="487" spans="1:2" x14ac:dyDescent="0.3">
      <c r="A487" s="47" t="s">
        <v>1043</v>
      </c>
      <c r="B487" s="47" t="s">
        <v>1044</v>
      </c>
    </row>
    <row r="488" spans="1:2" x14ac:dyDescent="0.3">
      <c r="A488" s="47" t="s">
        <v>1045</v>
      </c>
      <c r="B488" s="47" t="s">
        <v>1046</v>
      </c>
    </row>
    <row r="489" spans="1:2" x14ac:dyDescent="0.3">
      <c r="A489" s="47" t="s">
        <v>1047</v>
      </c>
      <c r="B489" s="47" t="s">
        <v>1048</v>
      </c>
    </row>
    <row r="490" spans="1:2" x14ac:dyDescent="0.3">
      <c r="A490" s="47" t="s">
        <v>1049</v>
      </c>
      <c r="B490" s="47" t="s">
        <v>1050</v>
      </c>
    </row>
    <row r="491" spans="1:2" x14ac:dyDescent="0.3">
      <c r="A491" s="47" t="s">
        <v>1051</v>
      </c>
      <c r="B491" s="47" t="s">
        <v>1052</v>
      </c>
    </row>
    <row r="492" spans="1:2" x14ac:dyDescent="0.3">
      <c r="A492" s="47" t="s">
        <v>1053</v>
      </c>
      <c r="B492" s="47" t="s">
        <v>1054</v>
      </c>
    </row>
    <row r="493" spans="1:2" x14ac:dyDescent="0.3">
      <c r="A493" s="47" t="s">
        <v>1055</v>
      </c>
      <c r="B493" s="47" t="s">
        <v>1056</v>
      </c>
    </row>
    <row r="494" spans="1:2" x14ac:dyDescent="0.3">
      <c r="A494" s="47" t="s">
        <v>1057</v>
      </c>
      <c r="B494" s="47" t="s">
        <v>1058</v>
      </c>
    </row>
    <row r="495" spans="1:2" x14ac:dyDescent="0.3">
      <c r="A495" s="47" t="s">
        <v>1059</v>
      </c>
      <c r="B495" s="47" t="s">
        <v>1060</v>
      </c>
    </row>
    <row r="496" spans="1:2" x14ac:dyDescent="0.3">
      <c r="A496" s="47" t="s">
        <v>1061</v>
      </c>
      <c r="B496" s="47" t="s">
        <v>1062</v>
      </c>
    </row>
    <row r="497" spans="1:2" x14ac:dyDescent="0.3">
      <c r="A497" s="47" t="s">
        <v>1063</v>
      </c>
      <c r="B497" s="47" t="s">
        <v>1064</v>
      </c>
    </row>
    <row r="498" spans="1:2" x14ac:dyDescent="0.3">
      <c r="A498" s="47" t="s">
        <v>1065</v>
      </c>
      <c r="B498" s="47" t="s">
        <v>1066</v>
      </c>
    </row>
    <row r="499" spans="1:2" x14ac:dyDescent="0.3">
      <c r="A499" s="47" t="s">
        <v>1067</v>
      </c>
      <c r="B499" s="47" t="s">
        <v>1068</v>
      </c>
    </row>
    <row r="500" spans="1:2" x14ac:dyDescent="0.3">
      <c r="A500" s="47" t="s">
        <v>1069</v>
      </c>
      <c r="B500" s="47" t="s">
        <v>1070</v>
      </c>
    </row>
    <row r="501" spans="1:2" x14ac:dyDescent="0.3">
      <c r="A501" s="47" t="s">
        <v>1071</v>
      </c>
      <c r="B501" s="47" t="s">
        <v>1072</v>
      </c>
    </row>
    <row r="502" spans="1:2" x14ac:dyDescent="0.3">
      <c r="A502" s="47" t="s">
        <v>1073</v>
      </c>
      <c r="B502" s="47" t="s">
        <v>1074</v>
      </c>
    </row>
    <row r="503" spans="1:2" x14ac:dyDescent="0.3">
      <c r="A503" s="47" t="s">
        <v>1075</v>
      </c>
      <c r="B503" s="47" t="s">
        <v>1076</v>
      </c>
    </row>
    <row r="504" spans="1:2" x14ac:dyDescent="0.3">
      <c r="A504" s="47" t="s">
        <v>1077</v>
      </c>
      <c r="B504" s="47" t="s">
        <v>1078</v>
      </c>
    </row>
    <row r="505" spans="1:2" x14ac:dyDescent="0.3">
      <c r="A505" s="47" t="s">
        <v>1079</v>
      </c>
      <c r="B505" s="47" t="s">
        <v>1080</v>
      </c>
    </row>
    <row r="506" spans="1:2" x14ac:dyDescent="0.3">
      <c r="A506" s="47" t="s">
        <v>1081</v>
      </c>
      <c r="B506" s="47" t="s">
        <v>1082</v>
      </c>
    </row>
    <row r="507" spans="1:2" x14ac:dyDescent="0.3">
      <c r="A507" s="47" t="s">
        <v>1083</v>
      </c>
      <c r="B507" s="47" t="s">
        <v>1084</v>
      </c>
    </row>
    <row r="508" spans="1:2" x14ac:dyDescent="0.3">
      <c r="A508" s="47" t="s">
        <v>1085</v>
      </c>
      <c r="B508" s="47" t="s">
        <v>1086</v>
      </c>
    </row>
    <row r="509" spans="1:2" x14ac:dyDescent="0.3">
      <c r="A509" s="47" t="s">
        <v>1087</v>
      </c>
      <c r="B509" s="47" t="s">
        <v>1088</v>
      </c>
    </row>
    <row r="510" spans="1:2" x14ac:dyDescent="0.3">
      <c r="A510" s="47" t="s">
        <v>1089</v>
      </c>
      <c r="B510" s="47" t="s">
        <v>1090</v>
      </c>
    </row>
    <row r="511" spans="1:2" x14ac:dyDescent="0.3">
      <c r="A511" s="47" t="s">
        <v>1091</v>
      </c>
      <c r="B511" s="47" t="s">
        <v>1091</v>
      </c>
    </row>
    <row r="512" spans="1:2" x14ac:dyDescent="0.3">
      <c r="A512" s="47" t="s">
        <v>1092</v>
      </c>
      <c r="B512" s="47" t="s">
        <v>1093</v>
      </c>
    </row>
    <row r="513" spans="1:2" x14ac:dyDescent="0.3">
      <c r="A513" s="47" t="s">
        <v>1094</v>
      </c>
      <c r="B513" s="47" t="s">
        <v>1095</v>
      </c>
    </row>
    <row r="514" spans="1:2" x14ac:dyDescent="0.3">
      <c r="A514" s="47" t="s">
        <v>1096</v>
      </c>
      <c r="B514" s="47" t="s">
        <v>1097</v>
      </c>
    </row>
    <row r="515" spans="1:2" x14ac:dyDescent="0.3">
      <c r="A515" s="47" t="s">
        <v>1098</v>
      </c>
      <c r="B515" s="47" t="s">
        <v>1099</v>
      </c>
    </row>
    <row r="516" spans="1:2" x14ac:dyDescent="0.3">
      <c r="A516" s="47" t="s">
        <v>1100</v>
      </c>
      <c r="B516" s="47" t="s">
        <v>1101</v>
      </c>
    </row>
    <row r="517" spans="1:2" x14ac:dyDescent="0.3">
      <c r="A517" s="47" t="s">
        <v>1102</v>
      </c>
      <c r="B517" s="47" t="s">
        <v>1103</v>
      </c>
    </row>
    <row r="518" spans="1:2" x14ac:dyDescent="0.3">
      <c r="A518" s="47" t="s">
        <v>1104</v>
      </c>
      <c r="B518" s="47" t="s">
        <v>1105</v>
      </c>
    </row>
    <row r="519" spans="1:2" x14ac:dyDescent="0.3">
      <c r="A519" s="47" t="s">
        <v>1106</v>
      </c>
      <c r="B519" s="47" t="s">
        <v>1107</v>
      </c>
    </row>
    <row r="520" spans="1:2" x14ac:dyDescent="0.3">
      <c r="A520" s="47" t="s">
        <v>1108</v>
      </c>
      <c r="B520" s="47" t="s">
        <v>1109</v>
      </c>
    </row>
    <row r="521" spans="1:2" x14ac:dyDescent="0.3">
      <c r="A521" s="47" t="s">
        <v>1110</v>
      </c>
      <c r="B521" s="47" t="s">
        <v>1111</v>
      </c>
    </row>
    <row r="522" spans="1:2" x14ac:dyDescent="0.3">
      <c r="A522" s="47" t="s">
        <v>1112</v>
      </c>
      <c r="B522" s="47" t="s">
        <v>1113</v>
      </c>
    </row>
    <row r="523" spans="1:2" x14ac:dyDescent="0.3">
      <c r="A523" s="47" t="s">
        <v>1114</v>
      </c>
      <c r="B523" s="47" t="s">
        <v>1115</v>
      </c>
    </row>
    <row r="524" spans="1:2" x14ac:dyDescent="0.3">
      <c r="A524" s="47" t="s">
        <v>1116</v>
      </c>
      <c r="B524" s="47" t="s">
        <v>1117</v>
      </c>
    </row>
    <row r="525" spans="1:2" x14ac:dyDescent="0.3">
      <c r="A525" s="47" t="s">
        <v>1118</v>
      </c>
      <c r="B525" s="47" t="s">
        <v>1119</v>
      </c>
    </row>
    <row r="526" spans="1:2" x14ac:dyDescent="0.3">
      <c r="A526" s="47" t="s">
        <v>1120</v>
      </c>
      <c r="B526" s="47" t="s">
        <v>1121</v>
      </c>
    </row>
    <row r="527" spans="1:2" x14ac:dyDescent="0.3">
      <c r="A527" s="47" t="s">
        <v>1122</v>
      </c>
      <c r="B527" s="47" t="s">
        <v>1123</v>
      </c>
    </row>
    <row r="528" spans="1:2" x14ac:dyDescent="0.3">
      <c r="A528" s="47" t="s">
        <v>1124</v>
      </c>
      <c r="B528" s="47" t="s">
        <v>1125</v>
      </c>
    </row>
    <row r="529" spans="1:2" x14ac:dyDescent="0.3">
      <c r="A529" s="47" t="s">
        <v>1126</v>
      </c>
      <c r="B529" s="47" t="s">
        <v>1127</v>
      </c>
    </row>
    <row r="530" spans="1:2" x14ac:dyDescent="0.3">
      <c r="A530" s="47" t="s">
        <v>1128</v>
      </c>
      <c r="B530" s="47" t="s">
        <v>1129</v>
      </c>
    </row>
    <row r="531" spans="1:2" x14ac:dyDescent="0.3">
      <c r="A531" s="47" t="s">
        <v>1130</v>
      </c>
      <c r="B531" s="47" t="s">
        <v>1131</v>
      </c>
    </row>
    <row r="532" spans="1:2" x14ac:dyDescent="0.3">
      <c r="A532" s="47" t="s">
        <v>1132</v>
      </c>
      <c r="B532" s="47" t="s">
        <v>1133</v>
      </c>
    </row>
    <row r="533" spans="1:2" x14ac:dyDescent="0.3">
      <c r="A533" s="47" t="s">
        <v>1134</v>
      </c>
      <c r="B533" s="47" t="s">
        <v>1135</v>
      </c>
    </row>
    <row r="534" spans="1:2" x14ac:dyDescent="0.3">
      <c r="A534" s="47" t="s">
        <v>1136</v>
      </c>
      <c r="B534" s="47" t="s">
        <v>1137</v>
      </c>
    </row>
    <row r="535" spans="1:2" x14ac:dyDescent="0.3">
      <c r="A535" s="47" t="s">
        <v>1138</v>
      </c>
      <c r="B535" s="47" t="s">
        <v>1139</v>
      </c>
    </row>
    <row r="536" spans="1:2" x14ac:dyDescent="0.3">
      <c r="A536" s="47" t="s">
        <v>1140</v>
      </c>
      <c r="B536" s="47" t="s">
        <v>1141</v>
      </c>
    </row>
    <row r="537" spans="1:2" x14ac:dyDescent="0.3">
      <c r="A537" s="47" t="s">
        <v>1142</v>
      </c>
      <c r="B537" s="47" t="s">
        <v>1143</v>
      </c>
    </row>
    <row r="538" spans="1:2" x14ac:dyDescent="0.3">
      <c r="A538" s="47" t="s">
        <v>1144</v>
      </c>
      <c r="B538" s="47" t="s">
        <v>1145</v>
      </c>
    </row>
    <row r="539" spans="1:2" x14ac:dyDescent="0.3">
      <c r="A539" s="47" t="s">
        <v>1146</v>
      </c>
      <c r="B539" s="47" t="s">
        <v>1147</v>
      </c>
    </row>
    <row r="540" spans="1:2" x14ac:dyDescent="0.3">
      <c r="A540" s="47" t="s">
        <v>1148</v>
      </c>
      <c r="B540" s="47" t="s">
        <v>1149</v>
      </c>
    </row>
    <row r="541" spans="1:2" x14ac:dyDescent="0.3">
      <c r="A541" s="47" t="s">
        <v>1150</v>
      </c>
      <c r="B541" s="47" t="s">
        <v>1151</v>
      </c>
    </row>
    <row r="542" spans="1:2" x14ac:dyDescent="0.3">
      <c r="A542" s="47" t="s">
        <v>1152</v>
      </c>
      <c r="B542" s="47" t="s">
        <v>1153</v>
      </c>
    </row>
    <row r="543" spans="1:2" x14ac:dyDescent="0.3">
      <c r="A543" s="47" t="s">
        <v>1154</v>
      </c>
      <c r="B543" s="47" t="s">
        <v>1155</v>
      </c>
    </row>
    <row r="544" spans="1:2" x14ac:dyDescent="0.3">
      <c r="A544" s="47" t="s">
        <v>1156</v>
      </c>
      <c r="B544" s="47" t="s">
        <v>1157</v>
      </c>
    </row>
    <row r="545" spans="1:2" x14ac:dyDescent="0.3">
      <c r="A545" s="47" t="s">
        <v>1158</v>
      </c>
      <c r="B545" s="47" t="s">
        <v>1159</v>
      </c>
    </row>
    <row r="546" spans="1:2" x14ac:dyDescent="0.3">
      <c r="A546" s="47" t="s">
        <v>1160</v>
      </c>
      <c r="B546" s="47" t="s">
        <v>1161</v>
      </c>
    </row>
    <row r="547" spans="1:2" x14ac:dyDescent="0.3">
      <c r="A547" s="47" t="s">
        <v>1162</v>
      </c>
      <c r="B547" s="47" t="s">
        <v>1163</v>
      </c>
    </row>
    <row r="548" spans="1:2" x14ac:dyDescent="0.3">
      <c r="A548" s="47" t="s">
        <v>1164</v>
      </c>
      <c r="B548" s="47" t="s">
        <v>1165</v>
      </c>
    </row>
    <row r="549" spans="1:2" x14ac:dyDescent="0.3">
      <c r="A549" s="47" t="s">
        <v>1166</v>
      </c>
      <c r="B549" s="47" t="s">
        <v>1167</v>
      </c>
    </row>
    <row r="550" spans="1:2" x14ac:dyDescent="0.3">
      <c r="A550" s="47" t="s">
        <v>1168</v>
      </c>
      <c r="B550" s="47" t="s">
        <v>1169</v>
      </c>
    </row>
    <row r="551" spans="1:2" x14ac:dyDescent="0.3">
      <c r="A551" s="47" t="s">
        <v>1170</v>
      </c>
      <c r="B551" s="47" t="s">
        <v>1171</v>
      </c>
    </row>
    <row r="552" spans="1:2" x14ac:dyDescent="0.3">
      <c r="A552" s="47" t="s">
        <v>1172</v>
      </c>
      <c r="B552" s="47" t="s">
        <v>1173</v>
      </c>
    </row>
    <row r="553" spans="1:2" x14ac:dyDescent="0.3">
      <c r="A553" s="47" t="s">
        <v>1174</v>
      </c>
      <c r="B553" s="47" t="s">
        <v>1175</v>
      </c>
    </row>
    <row r="554" spans="1:2" x14ac:dyDescent="0.3">
      <c r="A554" s="47" t="s">
        <v>1176</v>
      </c>
      <c r="B554" s="47" t="s">
        <v>1177</v>
      </c>
    </row>
    <row r="555" spans="1:2" x14ac:dyDescent="0.3">
      <c r="A555" s="47" t="s">
        <v>1178</v>
      </c>
      <c r="B555" s="47" t="s">
        <v>1179</v>
      </c>
    </row>
    <row r="556" spans="1:2" x14ac:dyDescent="0.3">
      <c r="A556" s="47" t="s">
        <v>1180</v>
      </c>
      <c r="B556" s="47" t="s">
        <v>1181</v>
      </c>
    </row>
    <row r="557" spans="1:2" x14ac:dyDescent="0.3">
      <c r="A557" s="47" t="s">
        <v>1182</v>
      </c>
      <c r="B557" s="47" t="s">
        <v>1183</v>
      </c>
    </row>
    <row r="558" spans="1:2" x14ac:dyDescent="0.3">
      <c r="A558" s="47" t="s">
        <v>1184</v>
      </c>
      <c r="B558" s="47" t="s">
        <v>1185</v>
      </c>
    </row>
    <row r="559" spans="1:2" x14ac:dyDescent="0.3">
      <c r="A559" s="47">
        <v>651002</v>
      </c>
      <c r="B559" s="47" t="s">
        <v>1186</v>
      </c>
    </row>
    <row r="560" spans="1:2" x14ac:dyDescent="0.3">
      <c r="A560" s="47">
        <v>9980001</v>
      </c>
      <c r="B560" s="47" t="s">
        <v>1187</v>
      </c>
    </row>
    <row r="561" spans="1:2" x14ac:dyDescent="0.3">
      <c r="A561" s="47">
        <v>9980002</v>
      </c>
      <c r="B561" s="47" t="s">
        <v>1188</v>
      </c>
    </row>
    <row r="562" spans="1:2" x14ac:dyDescent="0.3">
      <c r="A562" s="47">
        <v>9980003</v>
      </c>
      <c r="B562" s="47" t="s">
        <v>1189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2483-8FB1-48F1-9F29-1FD8EDF790B3}">
  <dimension ref="A5:AJ11"/>
  <sheetViews>
    <sheetView topLeftCell="Q1" workbookViewId="0">
      <selection activeCell="Z7" sqref="Z7"/>
    </sheetView>
  </sheetViews>
  <sheetFormatPr baseColWidth="10" defaultRowHeight="14.4" x14ac:dyDescent="0.3"/>
  <cols>
    <col min="21" max="21" width="27.109375" bestFit="1" customWidth="1"/>
    <col min="26" max="26" width="36.109375" bestFit="1" customWidth="1"/>
  </cols>
  <sheetData>
    <row r="5" spans="1:36" s="46" customFormat="1" ht="12" x14ac:dyDescent="0.25">
      <c r="A5" s="32">
        <v>46127</v>
      </c>
      <c r="B5" s="33">
        <v>2</v>
      </c>
      <c r="C5" s="34">
        <v>33883</v>
      </c>
      <c r="D5" s="34">
        <v>219879</v>
      </c>
      <c r="E5" s="35" t="s">
        <v>64</v>
      </c>
      <c r="F5" s="36">
        <v>88.23</v>
      </c>
      <c r="G5" s="35" t="s">
        <v>65</v>
      </c>
      <c r="H5" s="36">
        <v>390.43</v>
      </c>
      <c r="I5" s="35" t="s">
        <v>66</v>
      </c>
      <c r="J5" s="36">
        <v>33.950000000000003</v>
      </c>
      <c r="K5" s="35" t="s">
        <v>67</v>
      </c>
      <c r="L5" s="36">
        <v>18.87</v>
      </c>
      <c r="M5" s="35"/>
      <c r="N5" s="36"/>
      <c r="O5" s="36"/>
      <c r="P5" s="36"/>
      <c r="Q5" s="36">
        <f t="shared" ref="Q5:Q11" si="0">F5+H5+J5+L5+N5+P5</f>
        <v>531.48</v>
      </c>
      <c r="R5" s="37"/>
      <c r="S5" s="38" t="s">
        <v>68</v>
      </c>
      <c r="T5" s="38" t="s">
        <v>69</v>
      </c>
      <c r="U5" s="39" t="s">
        <v>70</v>
      </c>
      <c r="V5" s="38" t="s">
        <v>71</v>
      </c>
      <c r="W5" s="38" t="s">
        <v>72</v>
      </c>
      <c r="X5" s="40">
        <v>46126</v>
      </c>
      <c r="Y5" s="40">
        <v>46156</v>
      </c>
      <c r="Z5" s="41" t="s">
        <v>73</v>
      </c>
      <c r="AA5" s="42">
        <v>9400011</v>
      </c>
      <c r="AB5" s="43">
        <v>50</v>
      </c>
      <c r="AC5" s="43">
        <v>50</v>
      </c>
      <c r="AD5" s="38" t="s">
        <v>74</v>
      </c>
      <c r="AE5" s="44">
        <v>463</v>
      </c>
      <c r="AF5" s="45">
        <v>805</v>
      </c>
      <c r="AG5" s="45">
        <f t="shared" ref="AG5:AG11" si="1">AB5*AF5</f>
        <v>40250</v>
      </c>
      <c r="AH5" s="38" t="s">
        <v>75</v>
      </c>
      <c r="AI5" s="45">
        <v>0</v>
      </c>
      <c r="AJ5" s="45">
        <f t="shared" ref="AJ5:AJ11" si="2">AI5+AG5</f>
        <v>40250</v>
      </c>
    </row>
    <row r="6" spans="1:36" s="46" customFormat="1" ht="12" x14ac:dyDescent="0.25">
      <c r="A6" s="32">
        <v>46127</v>
      </c>
      <c r="B6" s="33">
        <v>2</v>
      </c>
      <c r="C6" s="34">
        <v>33885</v>
      </c>
      <c r="D6" s="34">
        <v>219880</v>
      </c>
      <c r="E6" s="35" t="s">
        <v>64</v>
      </c>
      <c r="F6" s="36">
        <v>88.23</v>
      </c>
      <c r="G6" s="35" t="s">
        <v>76</v>
      </c>
      <c r="H6" s="36">
        <v>390.45</v>
      </c>
      <c r="I6" s="35" t="s">
        <v>66</v>
      </c>
      <c r="J6" s="36">
        <v>33.950000000000003</v>
      </c>
      <c r="K6" s="35" t="s">
        <v>67</v>
      </c>
      <c r="L6" s="36">
        <v>18.87</v>
      </c>
      <c r="M6" s="35"/>
      <c r="N6" s="36"/>
      <c r="O6" s="36"/>
      <c r="P6" s="36"/>
      <c r="Q6" s="36">
        <f t="shared" si="0"/>
        <v>531.5</v>
      </c>
      <c r="R6" s="37"/>
      <c r="S6" s="38" t="s">
        <v>68</v>
      </c>
      <c r="T6" s="38" t="s">
        <v>69</v>
      </c>
      <c r="U6" s="39" t="s">
        <v>70</v>
      </c>
      <c r="V6" s="38" t="s">
        <v>71</v>
      </c>
      <c r="W6" s="38" t="s">
        <v>72</v>
      </c>
      <c r="X6" s="40">
        <v>46126</v>
      </c>
      <c r="Y6" s="40">
        <v>46156</v>
      </c>
      <c r="Z6" s="41" t="s">
        <v>77</v>
      </c>
      <c r="AA6" s="42">
        <v>9400009</v>
      </c>
      <c r="AB6" s="43">
        <v>50</v>
      </c>
      <c r="AC6" s="43">
        <v>50</v>
      </c>
      <c r="AD6" s="38" t="s">
        <v>74</v>
      </c>
      <c r="AE6" s="44">
        <v>463</v>
      </c>
      <c r="AF6" s="45">
        <v>805</v>
      </c>
      <c r="AG6" s="45">
        <f t="shared" si="1"/>
        <v>40250</v>
      </c>
      <c r="AH6" s="38" t="s">
        <v>75</v>
      </c>
      <c r="AI6" s="45">
        <v>0</v>
      </c>
      <c r="AJ6" s="45">
        <f t="shared" si="2"/>
        <v>40250</v>
      </c>
    </row>
    <row r="7" spans="1:36" s="46" customFormat="1" ht="12" x14ac:dyDescent="0.25">
      <c r="A7" s="32">
        <v>46129</v>
      </c>
      <c r="B7" s="33">
        <v>2</v>
      </c>
      <c r="C7" s="34">
        <v>34053</v>
      </c>
      <c r="D7" s="34">
        <v>219881</v>
      </c>
      <c r="E7" s="35" t="s">
        <v>15</v>
      </c>
      <c r="F7" s="36">
        <v>108.74</v>
      </c>
      <c r="G7" s="35" t="s">
        <v>78</v>
      </c>
      <c r="H7" s="36">
        <v>93.12</v>
      </c>
      <c r="I7" s="35" t="s">
        <v>79</v>
      </c>
      <c r="J7" s="36">
        <v>210.68</v>
      </c>
      <c r="K7" s="35" t="s">
        <v>67</v>
      </c>
      <c r="L7" s="36">
        <v>21.21</v>
      </c>
      <c r="M7" s="35"/>
      <c r="N7" s="36"/>
      <c r="O7" s="36"/>
      <c r="P7" s="36"/>
      <c r="Q7" s="36">
        <f t="shared" si="0"/>
        <v>433.75</v>
      </c>
      <c r="R7" s="37"/>
      <c r="S7" s="38" t="s">
        <v>80</v>
      </c>
      <c r="T7" s="38" t="s">
        <v>81</v>
      </c>
      <c r="U7" s="39" t="s">
        <v>82</v>
      </c>
      <c r="V7" s="38" t="s">
        <v>83</v>
      </c>
      <c r="W7" s="38" t="s">
        <v>84</v>
      </c>
      <c r="X7" s="40">
        <v>46127</v>
      </c>
      <c r="Y7" s="40">
        <v>46166</v>
      </c>
      <c r="Z7" s="41" t="s">
        <v>85</v>
      </c>
      <c r="AA7" s="42">
        <v>9870001</v>
      </c>
      <c r="AB7" s="43">
        <v>400</v>
      </c>
      <c r="AC7" s="43">
        <v>400</v>
      </c>
      <c r="AD7" s="38" t="s">
        <v>86</v>
      </c>
      <c r="AE7" s="44">
        <v>400</v>
      </c>
      <c r="AF7" s="45">
        <v>75.2</v>
      </c>
      <c r="AG7" s="45">
        <f t="shared" si="1"/>
        <v>30080</v>
      </c>
      <c r="AH7" s="38" t="s">
        <v>87</v>
      </c>
      <c r="AI7" s="45">
        <v>7740</v>
      </c>
      <c r="AJ7" s="45">
        <f t="shared" si="2"/>
        <v>37820</v>
      </c>
    </row>
    <row r="8" spans="1:36" s="46" customFormat="1" ht="12" x14ac:dyDescent="0.25">
      <c r="A8" s="32">
        <v>46129</v>
      </c>
      <c r="B8" s="33">
        <v>2</v>
      </c>
      <c r="C8" s="34">
        <v>34054</v>
      </c>
      <c r="D8" s="34">
        <v>219882</v>
      </c>
      <c r="E8" s="35" t="s">
        <v>35</v>
      </c>
      <c r="F8" s="36">
        <v>87.17</v>
      </c>
      <c r="G8" s="35" t="s">
        <v>36</v>
      </c>
      <c r="H8" s="36">
        <v>79.010000000000005</v>
      </c>
      <c r="I8" s="35" t="s">
        <v>88</v>
      </c>
      <c r="J8" s="36">
        <v>168.82</v>
      </c>
      <c r="K8" s="35" t="s">
        <v>67</v>
      </c>
      <c r="L8" s="36">
        <v>16.09</v>
      </c>
      <c r="M8" s="35"/>
      <c r="N8" s="36"/>
      <c r="O8" s="36"/>
      <c r="P8" s="36"/>
      <c r="Q8" s="36">
        <f t="shared" si="0"/>
        <v>351.09</v>
      </c>
      <c r="R8" s="37"/>
      <c r="S8" s="38" t="s">
        <v>80</v>
      </c>
      <c r="T8" s="38" t="s">
        <v>81</v>
      </c>
      <c r="U8" s="39" t="s">
        <v>82</v>
      </c>
      <c r="V8" s="38" t="s">
        <v>83</v>
      </c>
      <c r="W8" s="38" t="s">
        <v>84</v>
      </c>
      <c r="X8" s="40">
        <v>46127</v>
      </c>
      <c r="Y8" s="40">
        <v>46166</v>
      </c>
      <c r="Z8" s="41" t="s">
        <v>89</v>
      </c>
      <c r="AA8" s="42">
        <v>9870002</v>
      </c>
      <c r="AB8" s="43">
        <v>300</v>
      </c>
      <c r="AC8" s="43">
        <v>300</v>
      </c>
      <c r="AD8" s="38" t="s">
        <v>86</v>
      </c>
      <c r="AE8" s="44">
        <v>300</v>
      </c>
      <c r="AF8" s="45">
        <v>75.2</v>
      </c>
      <c r="AG8" s="45">
        <f t="shared" si="1"/>
        <v>22560</v>
      </c>
      <c r="AH8" s="38" t="s">
        <v>87</v>
      </c>
      <c r="AI8" s="45">
        <v>7110</v>
      </c>
      <c r="AJ8" s="45">
        <f t="shared" si="2"/>
        <v>29670</v>
      </c>
    </row>
    <row r="9" spans="1:36" s="46" customFormat="1" ht="12" x14ac:dyDescent="0.25">
      <c r="A9" s="32">
        <v>46129</v>
      </c>
      <c r="B9" s="33">
        <v>2</v>
      </c>
      <c r="C9" s="34">
        <v>34055</v>
      </c>
      <c r="D9" s="34">
        <v>219883</v>
      </c>
      <c r="E9" s="35" t="s">
        <v>35</v>
      </c>
      <c r="F9" s="36">
        <v>87.17</v>
      </c>
      <c r="G9" s="35" t="s">
        <v>36</v>
      </c>
      <c r="H9" s="36">
        <v>79.010000000000005</v>
      </c>
      <c r="I9" s="35" t="s">
        <v>88</v>
      </c>
      <c r="J9" s="36">
        <v>168.82</v>
      </c>
      <c r="K9" s="35" t="s">
        <v>67</v>
      </c>
      <c r="L9" s="36">
        <v>16.09</v>
      </c>
      <c r="M9" s="35"/>
      <c r="N9" s="36"/>
      <c r="O9" s="36"/>
      <c r="P9" s="36"/>
      <c r="Q9" s="36">
        <f t="shared" si="0"/>
        <v>351.09</v>
      </c>
      <c r="R9" s="37"/>
      <c r="S9" s="38" t="s">
        <v>80</v>
      </c>
      <c r="T9" s="38" t="s">
        <v>81</v>
      </c>
      <c r="U9" s="39" t="s">
        <v>82</v>
      </c>
      <c r="V9" s="38" t="s">
        <v>83</v>
      </c>
      <c r="W9" s="38" t="s">
        <v>84</v>
      </c>
      <c r="X9" s="40">
        <v>46127</v>
      </c>
      <c r="Y9" s="40">
        <v>46166</v>
      </c>
      <c r="Z9" s="41" t="s">
        <v>90</v>
      </c>
      <c r="AA9" s="42">
        <v>9870003</v>
      </c>
      <c r="AB9" s="43">
        <v>300</v>
      </c>
      <c r="AC9" s="43">
        <v>300</v>
      </c>
      <c r="AD9" s="38" t="s">
        <v>86</v>
      </c>
      <c r="AE9" s="44">
        <v>300</v>
      </c>
      <c r="AF9" s="45">
        <v>75.2</v>
      </c>
      <c r="AG9" s="45">
        <f t="shared" si="1"/>
        <v>22560</v>
      </c>
      <c r="AH9" s="38" t="s">
        <v>87</v>
      </c>
      <c r="AI9" s="45">
        <v>9420</v>
      </c>
      <c r="AJ9" s="45">
        <f t="shared" si="2"/>
        <v>31980</v>
      </c>
    </row>
    <row r="10" spans="1:36" s="46" customFormat="1" ht="12" x14ac:dyDescent="0.25">
      <c r="A10" s="32">
        <v>46129</v>
      </c>
      <c r="B10" s="33">
        <v>2</v>
      </c>
      <c r="C10" s="34">
        <v>34004</v>
      </c>
      <c r="D10" s="34">
        <v>219884</v>
      </c>
      <c r="E10" s="35" t="s">
        <v>91</v>
      </c>
      <c r="F10" s="36">
        <v>85.06</v>
      </c>
      <c r="G10" s="35" t="s">
        <v>92</v>
      </c>
      <c r="H10" s="36">
        <v>72.400000000000006</v>
      </c>
      <c r="I10" s="35" t="s">
        <v>93</v>
      </c>
      <c r="J10" s="36">
        <v>165.42</v>
      </c>
      <c r="K10" s="35" t="s">
        <v>67</v>
      </c>
      <c r="L10" s="36">
        <v>16.04</v>
      </c>
      <c r="M10" s="35"/>
      <c r="N10" s="36"/>
      <c r="O10" s="36"/>
      <c r="P10" s="36"/>
      <c r="Q10" s="36">
        <f t="shared" si="0"/>
        <v>338.92</v>
      </c>
      <c r="R10" s="37"/>
      <c r="S10" s="38" t="s">
        <v>80</v>
      </c>
      <c r="T10" s="38" t="s">
        <v>81</v>
      </c>
      <c r="U10" s="39" t="s">
        <v>94</v>
      </c>
      <c r="V10" s="38" t="s">
        <v>95</v>
      </c>
      <c r="W10" s="38" t="s">
        <v>96</v>
      </c>
      <c r="X10" s="40">
        <v>46127</v>
      </c>
      <c r="Y10" s="40">
        <v>46166</v>
      </c>
      <c r="Z10" s="41" t="s">
        <v>97</v>
      </c>
      <c r="AA10" s="42">
        <v>150099</v>
      </c>
      <c r="AB10" s="43">
        <v>300</v>
      </c>
      <c r="AC10" s="43">
        <v>300</v>
      </c>
      <c r="AD10" s="38" t="s">
        <v>86</v>
      </c>
      <c r="AE10" s="44">
        <v>300</v>
      </c>
      <c r="AF10" s="45">
        <v>78.5</v>
      </c>
      <c r="AG10" s="45">
        <f t="shared" si="1"/>
        <v>23550</v>
      </c>
      <c r="AH10" s="38" t="s">
        <v>87</v>
      </c>
      <c r="AI10" s="45">
        <v>8715</v>
      </c>
      <c r="AJ10" s="45">
        <f t="shared" si="2"/>
        <v>32265</v>
      </c>
    </row>
    <row r="11" spans="1:36" s="46" customFormat="1" ht="12" x14ac:dyDescent="0.25">
      <c r="A11" s="32">
        <v>46129</v>
      </c>
      <c r="B11" s="33">
        <v>2</v>
      </c>
      <c r="C11" s="34">
        <v>34003</v>
      </c>
      <c r="D11" s="34">
        <v>219885</v>
      </c>
      <c r="E11" s="35" t="s">
        <v>98</v>
      </c>
      <c r="F11" s="36">
        <v>93.55</v>
      </c>
      <c r="G11" s="35" t="s">
        <v>99</v>
      </c>
      <c r="H11" s="36">
        <v>79.06</v>
      </c>
      <c r="I11" s="35" t="s">
        <v>88</v>
      </c>
      <c r="J11" s="36">
        <v>179.72</v>
      </c>
      <c r="K11" s="35" t="s">
        <v>67</v>
      </c>
      <c r="L11" s="36">
        <v>17.34</v>
      </c>
      <c r="M11" s="35"/>
      <c r="N11" s="36"/>
      <c r="O11" s="36"/>
      <c r="P11" s="36"/>
      <c r="Q11" s="36">
        <f t="shared" si="0"/>
        <v>369.67</v>
      </c>
      <c r="R11" s="37"/>
      <c r="S11" s="38" t="s">
        <v>80</v>
      </c>
      <c r="T11" s="38" t="s">
        <v>81</v>
      </c>
      <c r="U11" s="39" t="s">
        <v>94</v>
      </c>
      <c r="V11" s="38" t="s">
        <v>95</v>
      </c>
      <c r="W11" s="38" t="s">
        <v>96</v>
      </c>
      <c r="X11" s="40">
        <v>46127</v>
      </c>
      <c r="Y11" s="40">
        <v>46166</v>
      </c>
      <c r="Z11" s="41" t="s">
        <v>100</v>
      </c>
      <c r="AA11" s="42">
        <v>150100</v>
      </c>
      <c r="AB11" s="43">
        <v>320</v>
      </c>
      <c r="AC11" s="43">
        <v>320</v>
      </c>
      <c r="AD11" s="38" t="s">
        <v>86</v>
      </c>
      <c r="AE11" s="44">
        <v>320</v>
      </c>
      <c r="AF11" s="45">
        <v>78.5</v>
      </c>
      <c r="AG11" s="45">
        <f t="shared" si="1"/>
        <v>25120</v>
      </c>
      <c r="AH11" s="38" t="s">
        <v>87</v>
      </c>
      <c r="AI11" s="45">
        <v>11900</v>
      </c>
      <c r="AJ11" s="45">
        <f t="shared" si="2"/>
        <v>37020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IMPRE</vt:lpstr>
      <vt:lpstr>LAMINACION</vt:lpstr>
      <vt:lpstr>Hoja2</vt:lpstr>
      <vt:lpstr>COD MP</vt:lpstr>
      <vt:lpstr>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Chuquimia</dc:creator>
  <cp:lastModifiedBy>Juan Chuquimia</cp:lastModifiedBy>
  <cp:lastPrinted>2026-05-29T15:29:20Z</cp:lastPrinted>
  <dcterms:created xsi:type="dcterms:W3CDTF">2026-05-28T16:57:59Z</dcterms:created>
  <dcterms:modified xsi:type="dcterms:W3CDTF">2026-07-23T20:03:32Z</dcterms:modified>
</cp:coreProperties>
</file>